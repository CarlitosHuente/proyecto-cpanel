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carloscarvajal/Downloads/"/>
    </mc:Choice>
  </mc:AlternateContent>
  <xr:revisionPtr revIDLastSave="0" documentId="13_ncr:1_{A61A1AD5-7D07-024F-BEB0-0901916FD62C}" xr6:coauthVersionLast="47" xr6:coauthVersionMax="47" xr10:uidLastSave="{00000000-0000-0000-0000-000000000000}"/>
  <bookViews>
    <workbookView xWindow="30240" yWindow="-1360" windowWidth="38400" windowHeight="21000" activeTab="3" xr2:uid="{00000000-000D-0000-FFFF-FFFF00000000}"/>
  </bookViews>
  <sheets>
    <sheet name="Produccion" sheetId="1" state="hidden" r:id="rId1"/>
    <sheet name="Ventas_Des" sheetId="2" state="hidden" r:id="rId2"/>
    <sheet name="Stock_Real" sheetId="5" state="hidden" r:id="rId3"/>
    <sheet name="Produccion_2026" sheetId="9" r:id="rId4"/>
    <sheet name="Ventas_Des2" sheetId="10" r:id="rId5"/>
    <sheet name="Stock_Real2" sheetId="11" r:id="rId6"/>
    <sheet name="Semanal2" sheetId="12" r:id="rId7"/>
    <sheet name="Semanal" sheetId="3" state="hidden" r:id="rId8"/>
    <sheet name="Hoja2" sheetId="7" state="hidden" r:id="rId9"/>
    <sheet name="Semanas 2018-2019" sheetId="4" state="hidden" r:id="rId10"/>
  </sheets>
  <definedNames>
    <definedName name="Base" localSheetId="3">Produccion_2026!$A$1:$ND$44</definedName>
    <definedName name="Base">Produccion!$A$1:$NC$40</definedName>
    <definedName name="Datos">Produccion!$B$2:$NI$40</definedName>
    <definedName name="Datos2">Produccion_2026!$B$6:$NE$44</definedName>
    <definedName name="Datos3Compras">Produccion_2026!$B$2:$ND$44</definedName>
    <definedName name="DatosVentas">Ventas_Des!$C$1:$BB$42</definedName>
    <definedName name="Fechas">Produccion!$B$2:$NI$2</definedName>
    <definedName name="Fechas2">Produccion_2026!$B$2:$NE$2</definedName>
    <definedName name="Meses">'Semanas 2018-2019'!$AO$2:$AR$13</definedName>
    <definedName name="Meses2">'Semanas 2018-2019'!$AO$16:$AR$27</definedName>
    <definedName name="Meses3">'Semanas 2018-2019'!$AO$30:$AR$41</definedName>
    <definedName name="Meses4">'Semanas 2018-2019'!$AO$44:$AR$55</definedName>
    <definedName name="Meses5">'Semanas 2018-2019'!$AO$58:$AR$69</definedName>
    <definedName name="Producto">Produccion!$A:$A</definedName>
    <definedName name="Semana21">'Semanas 2018-2019'!$M$3:$O$55</definedName>
    <definedName name="Semana22">'Semanas 2018-2019'!$Q$3:$S$54</definedName>
    <definedName name="Semana23">'Semanas 2018-2019'!$U$3:$W$54</definedName>
    <definedName name="Semana24">'Semanas 2018-2019'!$Y$3:$AA$54</definedName>
    <definedName name="Semana25">'Semanas 2018-2019'!$AC$3:$AE$54</definedName>
    <definedName name="Semana26">'Semanas 2018-2019'!$AG$3:$AI$54</definedName>
    <definedName name="Semanas19">'Semanas 2018-2019'!$I$3:$K$54</definedName>
    <definedName name="SemanasVentas">Ventas_Des!$C$1:$BC$1</definedName>
    <definedName name="SemanasVentas2">Ventas_Des2!$C$1:$BC$1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2" l="1"/>
  <c r="J23" i="12" s="1"/>
  <c r="C27" i="12"/>
  <c r="B27" i="12"/>
  <c r="B5" i="12"/>
  <c r="AH3" i="4"/>
  <c r="AI3" i="4" s="1"/>
  <c r="AH4" i="4" s="1"/>
  <c r="AI4" i="4" s="1"/>
  <c r="AH5" i="4" s="1"/>
  <c r="AI5" i="4" s="1"/>
  <c r="AH6" i="4" s="1"/>
  <c r="AI6" i="4" s="1"/>
  <c r="AH7" i="4" s="1"/>
  <c r="AI7" i="4" s="1"/>
  <c r="AH8" i="4" s="1"/>
  <c r="AI8" i="4" s="1"/>
  <c r="AH9" i="4" s="1"/>
  <c r="AI9" i="4" s="1"/>
  <c r="AH10" i="4" s="1"/>
  <c r="AI10" i="4" s="1"/>
  <c r="AH11" i="4" s="1"/>
  <c r="AI11" i="4" s="1"/>
  <c r="AH12" i="4" s="1"/>
  <c r="AI12" i="4" s="1"/>
  <c r="AH13" i="4" s="1"/>
  <c r="AI13" i="4" s="1"/>
  <c r="AH14" i="4" s="1"/>
  <c r="AI14" i="4" s="1"/>
  <c r="AH15" i="4" s="1"/>
  <c r="AI15" i="4" s="1"/>
  <c r="AH16" i="4" s="1"/>
  <c r="AI16" i="4" s="1"/>
  <c r="AH17" i="4" s="1"/>
  <c r="AI17" i="4" s="1"/>
  <c r="AH18" i="4" s="1"/>
  <c r="AI18" i="4" s="1"/>
  <c r="AH19" i="4" s="1"/>
  <c r="AI19" i="4" s="1"/>
  <c r="AH20" i="4" s="1"/>
  <c r="AI20" i="4" s="1"/>
  <c r="AH21" i="4" s="1"/>
  <c r="AI21" i="4" s="1"/>
  <c r="AH22" i="4" s="1"/>
  <c r="AI22" i="4" s="1"/>
  <c r="AH23" i="4" s="1"/>
  <c r="AI23" i="4" s="1"/>
  <c r="AH24" i="4" s="1"/>
  <c r="AI24" i="4" s="1"/>
  <c r="AH25" i="4" s="1"/>
  <c r="AI25" i="4" s="1"/>
  <c r="AH26" i="4" s="1"/>
  <c r="AI26" i="4" s="1"/>
  <c r="AH27" i="4" s="1"/>
  <c r="AI27" i="4" s="1"/>
  <c r="AH28" i="4" s="1"/>
  <c r="AI28" i="4" s="1"/>
  <c r="AH29" i="4" s="1"/>
  <c r="AI29" i="4" s="1"/>
  <c r="AH30" i="4" s="1"/>
  <c r="AI30" i="4" s="1"/>
  <c r="AH31" i="4" s="1"/>
  <c r="AI31" i="4" s="1"/>
  <c r="AH32" i="4" s="1"/>
  <c r="AI32" i="4" s="1"/>
  <c r="AH33" i="4" s="1"/>
  <c r="AI33" i="4" s="1"/>
  <c r="AH34" i="4" s="1"/>
  <c r="AI34" i="4" s="1"/>
  <c r="AH35" i="4" s="1"/>
  <c r="AI35" i="4" s="1"/>
  <c r="AH36" i="4" s="1"/>
  <c r="AI36" i="4" s="1"/>
  <c r="AH37" i="4" s="1"/>
  <c r="AI37" i="4" s="1"/>
  <c r="AH38" i="4" s="1"/>
  <c r="AI38" i="4" s="1"/>
  <c r="AH39" i="4" s="1"/>
  <c r="AI39" i="4" s="1"/>
  <c r="AH40" i="4" s="1"/>
  <c r="AI40" i="4" s="1"/>
  <c r="AH41" i="4" s="1"/>
  <c r="AI41" i="4" s="1"/>
  <c r="AH42" i="4" s="1"/>
  <c r="AI42" i="4" s="1"/>
  <c r="AH43" i="4" s="1"/>
  <c r="AI43" i="4" s="1"/>
  <c r="AH44" i="4" s="1"/>
  <c r="AI44" i="4" s="1"/>
  <c r="AH45" i="4" s="1"/>
  <c r="AI45" i="4" s="1"/>
  <c r="AH46" i="4" s="1"/>
  <c r="AI46" i="4" s="1"/>
  <c r="AH47" i="4" s="1"/>
  <c r="AI47" i="4" s="1"/>
  <c r="AH48" i="4" s="1"/>
  <c r="AI48" i="4" s="1"/>
  <c r="AH49" i="4" s="1"/>
  <c r="AI49" i="4" s="1"/>
  <c r="AH50" i="4" s="1"/>
  <c r="AI50" i="4" s="1"/>
  <c r="AH51" i="4" s="1"/>
  <c r="AI51" i="4" s="1"/>
  <c r="AH52" i="4" s="1"/>
  <c r="AI52" i="4" s="1"/>
  <c r="AH53" i="4" s="1"/>
  <c r="AI53" i="4" s="1"/>
  <c r="AH54" i="4" s="1"/>
  <c r="AI54" i="4" s="1"/>
  <c r="J6" i="12" l="1"/>
  <c r="J16" i="12"/>
  <c r="J22" i="12"/>
  <c r="J12" i="12"/>
  <c r="J20" i="12"/>
  <c r="J9" i="12"/>
  <c r="J13" i="12"/>
  <c r="J17" i="12"/>
  <c r="J21" i="12"/>
  <c r="J10" i="12"/>
  <c r="J18" i="12"/>
  <c r="J11" i="12"/>
  <c r="J15" i="12"/>
  <c r="J19" i="12"/>
  <c r="NE40" i="9"/>
  <c r="NE41" i="9"/>
  <c r="NE42" i="9"/>
  <c r="NE43" i="9"/>
  <c r="NE44" i="9"/>
  <c r="K6" i="12" l="1"/>
  <c r="C45" i="12" l="1"/>
  <c r="C40" i="12"/>
  <c r="C36" i="12"/>
  <c r="C30" i="12"/>
  <c r="C32" i="12"/>
  <c r="C35" i="12"/>
  <c r="C29" i="12"/>
  <c r="C37" i="12"/>
  <c r="C42" i="12"/>
  <c r="C38" i="12"/>
  <c r="C34" i="12"/>
  <c r="C41" i="12"/>
  <c r="JY3" i="9"/>
  <c r="JZ3" i="9" s="1"/>
  <c r="KA3" i="9" s="1"/>
  <c r="KB3" i="9" s="1"/>
  <c r="KC3" i="9" s="1"/>
  <c r="KD3" i="9" s="1"/>
  <c r="KE3" i="9" s="1"/>
  <c r="KF3" i="9" s="1"/>
  <c r="KG3" i="9" s="1"/>
  <c r="KH3" i="9" s="1"/>
  <c r="KI3" i="9" s="1"/>
  <c r="KJ3" i="9" s="1"/>
  <c r="KK3" i="9" s="1"/>
  <c r="KL3" i="9" s="1"/>
  <c r="KM3" i="9" s="1"/>
  <c r="KN3" i="9" s="1"/>
  <c r="KO3" i="9" s="1"/>
  <c r="KP3" i="9" s="1"/>
  <c r="KQ3" i="9" s="1"/>
  <c r="KR3" i="9" s="1"/>
  <c r="KS3" i="9" s="1"/>
  <c r="KT3" i="9" s="1"/>
  <c r="KU3" i="9" s="1"/>
  <c r="KV3" i="9" s="1"/>
  <c r="KW3" i="9" s="1"/>
  <c r="KX3" i="9" s="1"/>
  <c r="KY3" i="9" s="1"/>
  <c r="KZ3" i="9" s="1"/>
  <c r="LA3" i="9" s="1"/>
  <c r="LB3" i="9" s="1"/>
  <c r="LC3" i="9" s="1"/>
  <c r="LD3" i="9" s="1"/>
  <c r="LE3" i="9" s="1"/>
  <c r="LF3" i="9" s="1"/>
  <c r="LG3" i="9" s="1"/>
  <c r="LH3" i="9" s="1"/>
  <c r="LI3" i="9" s="1"/>
  <c r="LJ3" i="9" s="1"/>
  <c r="LK3" i="9" s="1"/>
  <c r="LL3" i="9" s="1"/>
  <c r="LM3" i="9" s="1"/>
  <c r="LN3" i="9" s="1"/>
  <c r="LO3" i="9" s="1"/>
  <c r="LP3" i="9" s="1"/>
  <c r="LQ3" i="9" s="1"/>
  <c r="LR3" i="9" s="1"/>
  <c r="LS3" i="9" s="1"/>
  <c r="LT3" i="9" s="1"/>
  <c r="LU3" i="9" s="1"/>
  <c r="LV3" i="9" s="1"/>
  <c r="LW3" i="9" s="1"/>
  <c r="LX3" i="9" s="1"/>
  <c r="LY3" i="9" s="1"/>
  <c r="LZ3" i="9" s="1"/>
  <c r="MA3" i="9" s="1"/>
  <c r="MB3" i="9" s="1"/>
  <c r="MC3" i="9" s="1"/>
  <c r="MD3" i="9" s="1"/>
  <c r="ME3" i="9" s="1"/>
  <c r="MF3" i="9" s="1"/>
  <c r="MG3" i="9" s="1"/>
  <c r="MH3" i="9" s="1"/>
  <c r="MI3" i="9" s="1"/>
  <c r="MJ3" i="9" s="1"/>
  <c r="MK3" i="9" s="1"/>
  <c r="ML3" i="9" s="1"/>
  <c r="MM3" i="9" s="1"/>
  <c r="MN3" i="9" s="1"/>
  <c r="MO3" i="9" s="1"/>
  <c r="MP3" i="9" s="1"/>
  <c r="MQ3" i="9" s="1"/>
  <c r="MR3" i="9" s="1"/>
  <c r="MS3" i="9" s="1"/>
  <c r="MT3" i="9" s="1"/>
  <c r="MU3" i="9" s="1"/>
  <c r="MV3" i="9" s="1"/>
  <c r="MW3" i="9" s="1"/>
  <c r="MX3" i="9" s="1"/>
  <c r="MY3" i="9" s="1"/>
  <c r="MZ3" i="9" s="1"/>
  <c r="NA3" i="9" s="1"/>
  <c r="NB3" i="9" s="1"/>
  <c r="NC3" i="9" s="1"/>
  <c r="ND3" i="9" s="1"/>
  <c r="NE3" i="9" s="1"/>
  <c r="C3" i="9"/>
  <c r="C33" i="12" l="1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C26" i="12" l="1"/>
  <c r="C28" i="12" l="1"/>
  <c r="ND44" i="9"/>
  <c r="NC44" i="9"/>
  <c r="NB44" i="9"/>
  <c r="NA44" i="9"/>
  <c r="MZ44" i="9"/>
  <c r="MY44" i="9"/>
  <c r="MX44" i="9"/>
  <c r="MW44" i="9"/>
  <c r="MV44" i="9"/>
  <c r="MU44" i="9"/>
  <c r="MT44" i="9"/>
  <c r="MS44" i="9"/>
  <c r="MR44" i="9"/>
  <c r="MQ44" i="9"/>
  <c r="MP44" i="9"/>
  <c r="MO44" i="9"/>
  <c r="MN44" i="9"/>
  <c r="MM44" i="9"/>
  <c r="ML44" i="9"/>
  <c r="MK44" i="9"/>
  <c r="MJ44" i="9"/>
  <c r="MI44" i="9"/>
  <c r="MH44" i="9"/>
  <c r="MG44" i="9"/>
  <c r="MF44" i="9"/>
  <c r="ME44" i="9"/>
  <c r="MD44" i="9"/>
  <c r="MC44" i="9"/>
  <c r="MB44" i="9"/>
  <c r="MA44" i="9"/>
  <c r="LZ44" i="9"/>
  <c r="LY44" i="9"/>
  <c r="LX44" i="9"/>
  <c r="LW44" i="9"/>
  <c r="LV44" i="9"/>
  <c r="LU44" i="9"/>
  <c r="LT44" i="9"/>
  <c r="LS44" i="9"/>
  <c r="LR44" i="9"/>
  <c r="LQ44" i="9"/>
  <c r="LP44" i="9"/>
  <c r="LO44" i="9"/>
  <c r="LN44" i="9"/>
  <c r="LM44" i="9"/>
  <c r="LL44" i="9"/>
  <c r="LK44" i="9"/>
  <c r="LJ44" i="9"/>
  <c r="LI44" i="9"/>
  <c r="LH44" i="9"/>
  <c r="LG44" i="9"/>
  <c r="LF44" i="9"/>
  <c r="LE44" i="9"/>
  <c r="LD44" i="9"/>
  <c r="LC44" i="9"/>
  <c r="LB44" i="9"/>
  <c r="LA44" i="9"/>
  <c r="KZ44" i="9"/>
  <c r="KY44" i="9"/>
  <c r="KX44" i="9"/>
  <c r="KW44" i="9"/>
  <c r="KV44" i="9"/>
  <c r="KU44" i="9"/>
  <c r="KT44" i="9"/>
  <c r="KS44" i="9"/>
  <c r="KR44" i="9"/>
  <c r="KQ44" i="9"/>
  <c r="KP44" i="9"/>
  <c r="KO44" i="9"/>
  <c r="KN44" i="9"/>
  <c r="KM44" i="9"/>
  <c r="KL44" i="9"/>
  <c r="KK44" i="9"/>
  <c r="KJ44" i="9"/>
  <c r="KI44" i="9"/>
  <c r="KH44" i="9"/>
  <c r="KG44" i="9"/>
  <c r="KF44" i="9"/>
  <c r="KE44" i="9"/>
  <c r="KD44" i="9"/>
  <c r="KC44" i="9"/>
  <c r="KB44" i="9"/>
  <c r="KA44" i="9"/>
  <c r="JZ44" i="9"/>
  <c r="JY44" i="9"/>
  <c r="JX44" i="9"/>
  <c r="JW44" i="9"/>
  <c r="JV44" i="9"/>
  <c r="JU44" i="9"/>
  <c r="JT44" i="9"/>
  <c r="JS44" i="9"/>
  <c r="JR44" i="9"/>
  <c r="JQ44" i="9"/>
  <c r="JP44" i="9"/>
  <c r="JO44" i="9"/>
  <c r="JN44" i="9"/>
  <c r="JM44" i="9"/>
  <c r="JL44" i="9"/>
  <c r="JK44" i="9"/>
  <c r="JJ44" i="9"/>
  <c r="JI44" i="9"/>
  <c r="JH44" i="9"/>
  <c r="JG44" i="9"/>
  <c r="JF44" i="9"/>
  <c r="JE44" i="9"/>
  <c r="JD44" i="9"/>
  <c r="JC44" i="9"/>
  <c r="JB44" i="9"/>
  <c r="JA44" i="9"/>
  <c r="IZ44" i="9"/>
  <c r="IY44" i="9"/>
  <c r="IX44" i="9"/>
  <c r="IW44" i="9"/>
  <c r="IV44" i="9"/>
  <c r="IU44" i="9"/>
  <c r="IT44" i="9"/>
  <c r="IS44" i="9"/>
  <c r="IR44" i="9"/>
  <c r="IQ44" i="9"/>
  <c r="IP44" i="9"/>
  <c r="IO44" i="9"/>
  <c r="IN44" i="9"/>
  <c r="IM44" i="9"/>
  <c r="IL44" i="9"/>
  <c r="IK44" i="9"/>
  <c r="IJ44" i="9"/>
  <c r="II44" i="9"/>
  <c r="IH44" i="9"/>
  <c r="IG44" i="9"/>
  <c r="IF44" i="9"/>
  <c r="IE44" i="9"/>
  <c r="ID44" i="9"/>
  <c r="IC44" i="9"/>
  <c r="IB44" i="9"/>
  <c r="IA44" i="9"/>
  <c r="HZ44" i="9"/>
  <c r="HY44" i="9"/>
  <c r="HX44" i="9"/>
  <c r="HW44" i="9"/>
  <c r="HV44" i="9"/>
  <c r="HU44" i="9"/>
  <c r="HT44" i="9"/>
  <c r="HS44" i="9"/>
  <c r="HR44" i="9"/>
  <c r="HQ44" i="9"/>
  <c r="HP44" i="9"/>
  <c r="HO44" i="9"/>
  <c r="HN44" i="9"/>
  <c r="HM44" i="9"/>
  <c r="HL44" i="9"/>
  <c r="HK44" i="9"/>
  <c r="HJ44" i="9"/>
  <c r="HI44" i="9"/>
  <c r="HH44" i="9"/>
  <c r="HG44" i="9"/>
  <c r="HF44" i="9"/>
  <c r="HE44" i="9"/>
  <c r="HD44" i="9"/>
  <c r="HC44" i="9"/>
  <c r="HB44" i="9"/>
  <c r="HA44" i="9"/>
  <c r="GZ44" i="9"/>
  <c r="GY44" i="9"/>
  <c r="GX44" i="9"/>
  <c r="GW44" i="9"/>
  <c r="GV44" i="9"/>
  <c r="GU44" i="9"/>
  <c r="GT44" i="9"/>
  <c r="GS44" i="9"/>
  <c r="GR44" i="9"/>
  <c r="GQ44" i="9"/>
  <c r="GP44" i="9"/>
  <c r="GO44" i="9"/>
  <c r="GN44" i="9"/>
  <c r="GM44" i="9"/>
  <c r="GL44" i="9"/>
  <c r="GK44" i="9"/>
  <c r="GJ44" i="9"/>
  <c r="GI44" i="9"/>
  <c r="GH44" i="9"/>
  <c r="GG44" i="9"/>
  <c r="GF44" i="9"/>
  <c r="GE44" i="9"/>
  <c r="GD44" i="9"/>
  <c r="GC44" i="9"/>
  <c r="GB44" i="9"/>
  <c r="GA44" i="9"/>
  <c r="FZ44" i="9"/>
  <c r="FY44" i="9"/>
  <c r="FX44" i="9"/>
  <c r="FW44" i="9"/>
  <c r="FV44" i="9"/>
  <c r="FU44" i="9"/>
  <c r="FT44" i="9"/>
  <c r="FS44" i="9"/>
  <c r="FR44" i="9"/>
  <c r="FQ44" i="9"/>
  <c r="FP44" i="9"/>
  <c r="FO44" i="9"/>
  <c r="FN44" i="9"/>
  <c r="FM44" i="9"/>
  <c r="FL44" i="9"/>
  <c r="FK44" i="9"/>
  <c r="FJ44" i="9"/>
  <c r="FI44" i="9"/>
  <c r="FH44" i="9"/>
  <c r="FG44" i="9"/>
  <c r="FF44" i="9"/>
  <c r="FE44" i="9"/>
  <c r="FD44" i="9"/>
  <c r="FC44" i="9"/>
  <c r="FB44" i="9"/>
  <c r="FA44" i="9"/>
  <c r="EZ44" i="9"/>
  <c r="EY44" i="9"/>
  <c r="EX44" i="9"/>
  <c r="EW44" i="9"/>
  <c r="EV44" i="9"/>
  <c r="EU44" i="9"/>
  <c r="ET44" i="9"/>
  <c r="ES44" i="9"/>
  <c r="ER44" i="9"/>
  <c r="EQ44" i="9"/>
  <c r="EP44" i="9"/>
  <c r="EO44" i="9"/>
  <c r="EN44" i="9"/>
  <c r="EM44" i="9"/>
  <c r="EL44" i="9"/>
  <c r="EK44" i="9"/>
  <c r="EJ44" i="9"/>
  <c r="EI44" i="9"/>
  <c r="EH44" i="9"/>
  <c r="EG44" i="9"/>
  <c r="EF44" i="9"/>
  <c r="EE44" i="9"/>
  <c r="ED44" i="9"/>
  <c r="EC44" i="9"/>
  <c r="EB44" i="9"/>
  <c r="EA44" i="9"/>
  <c r="DZ44" i="9"/>
  <c r="DY44" i="9"/>
  <c r="DX44" i="9"/>
  <c r="DW44" i="9"/>
  <c r="DV44" i="9"/>
  <c r="DU44" i="9"/>
  <c r="DT44" i="9"/>
  <c r="DS44" i="9"/>
  <c r="DR44" i="9"/>
  <c r="DQ44" i="9"/>
  <c r="DP44" i="9"/>
  <c r="DO44" i="9"/>
  <c r="DN44" i="9"/>
  <c r="DM44" i="9"/>
  <c r="DL44" i="9"/>
  <c r="DK44" i="9"/>
  <c r="DJ44" i="9"/>
  <c r="DI44" i="9"/>
  <c r="DH44" i="9"/>
  <c r="DG44" i="9"/>
  <c r="DF44" i="9"/>
  <c r="DE44" i="9"/>
  <c r="DD44" i="9"/>
  <c r="DC44" i="9"/>
  <c r="DB44" i="9"/>
  <c r="DA44" i="9"/>
  <c r="CZ44" i="9"/>
  <c r="CY44" i="9"/>
  <c r="CX44" i="9"/>
  <c r="CW44" i="9"/>
  <c r="CV44" i="9"/>
  <c r="CU44" i="9"/>
  <c r="CT44" i="9"/>
  <c r="CS44" i="9"/>
  <c r="CR44" i="9"/>
  <c r="CQ44" i="9"/>
  <c r="CP44" i="9"/>
  <c r="CO44" i="9"/>
  <c r="CN44" i="9"/>
  <c r="CM44" i="9"/>
  <c r="CL44" i="9"/>
  <c r="CK44" i="9"/>
  <c r="CJ44" i="9"/>
  <c r="CI44" i="9"/>
  <c r="CH44" i="9"/>
  <c r="CG44" i="9"/>
  <c r="CF44" i="9"/>
  <c r="CE44" i="9"/>
  <c r="CD44" i="9"/>
  <c r="CC44" i="9"/>
  <c r="CB44" i="9"/>
  <c r="CA44" i="9"/>
  <c r="BZ44" i="9"/>
  <c r="BY44" i="9"/>
  <c r="BX44" i="9"/>
  <c r="BW44" i="9"/>
  <c r="BV44" i="9"/>
  <c r="BU44" i="9"/>
  <c r="BT44" i="9"/>
  <c r="BS44" i="9"/>
  <c r="BR44" i="9"/>
  <c r="BQ44" i="9"/>
  <c r="BP44" i="9"/>
  <c r="BO44" i="9"/>
  <c r="BN44" i="9"/>
  <c r="BM44" i="9"/>
  <c r="BL44" i="9"/>
  <c r="BK44" i="9"/>
  <c r="BJ44" i="9"/>
  <c r="BI44" i="9"/>
  <c r="BH44" i="9"/>
  <c r="BG44" i="9"/>
  <c r="BF44" i="9"/>
  <c r="BE44" i="9"/>
  <c r="BD44" i="9"/>
  <c r="BC44" i="9"/>
  <c r="BB44" i="9"/>
  <c r="BA44" i="9"/>
  <c r="AZ44" i="9"/>
  <c r="AY44" i="9"/>
  <c r="AX44" i="9"/>
  <c r="AW44" i="9"/>
  <c r="AV44" i="9"/>
  <c r="AU44" i="9"/>
  <c r="AT44" i="9"/>
  <c r="AS44" i="9"/>
  <c r="AR44" i="9"/>
  <c r="AQ44" i="9"/>
  <c r="AP44" i="9"/>
  <c r="AO44" i="9"/>
  <c r="AN44" i="9"/>
  <c r="AM44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ND43" i="9"/>
  <c r="NC43" i="9"/>
  <c r="NB43" i="9"/>
  <c r="NA43" i="9"/>
  <c r="MZ43" i="9"/>
  <c r="MY43" i="9"/>
  <c r="MX43" i="9"/>
  <c r="MW43" i="9"/>
  <c r="MV43" i="9"/>
  <c r="MU43" i="9"/>
  <c r="MT43" i="9"/>
  <c r="MS43" i="9"/>
  <c r="MR43" i="9"/>
  <c r="MQ43" i="9"/>
  <c r="MP43" i="9"/>
  <c r="MO43" i="9"/>
  <c r="MN43" i="9"/>
  <c r="MM43" i="9"/>
  <c r="ML43" i="9"/>
  <c r="MK43" i="9"/>
  <c r="MJ43" i="9"/>
  <c r="MI43" i="9"/>
  <c r="MH43" i="9"/>
  <c r="MG43" i="9"/>
  <c r="MF43" i="9"/>
  <c r="ME43" i="9"/>
  <c r="MD43" i="9"/>
  <c r="MC43" i="9"/>
  <c r="MB43" i="9"/>
  <c r="MA43" i="9"/>
  <c r="LZ43" i="9"/>
  <c r="LY43" i="9"/>
  <c r="LX43" i="9"/>
  <c r="LW43" i="9"/>
  <c r="LV43" i="9"/>
  <c r="LU43" i="9"/>
  <c r="LT43" i="9"/>
  <c r="LS43" i="9"/>
  <c r="LR43" i="9"/>
  <c r="LQ43" i="9"/>
  <c r="LP43" i="9"/>
  <c r="LO43" i="9"/>
  <c r="LN43" i="9"/>
  <c r="LM43" i="9"/>
  <c r="LL43" i="9"/>
  <c r="LK43" i="9"/>
  <c r="LJ43" i="9"/>
  <c r="LI43" i="9"/>
  <c r="LH43" i="9"/>
  <c r="LG43" i="9"/>
  <c r="LF43" i="9"/>
  <c r="LE43" i="9"/>
  <c r="LD43" i="9"/>
  <c r="LC43" i="9"/>
  <c r="LB43" i="9"/>
  <c r="LA43" i="9"/>
  <c r="KZ43" i="9"/>
  <c r="KY43" i="9"/>
  <c r="KX43" i="9"/>
  <c r="KW43" i="9"/>
  <c r="KV43" i="9"/>
  <c r="KU43" i="9"/>
  <c r="KT43" i="9"/>
  <c r="KS43" i="9"/>
  <c r="KR43" i="9"/>
  <c r="KQ43" i="9"/>
  <c r="KP43" i="9"/>
  <c r="KO43" i="9"/>
  <c r="KN43" i="9"/>
  <c r="KM43" i="9"/>
  <c r="KL43" i="9"/>
  <c r="KK43" i="9"/>
  <c r="KJ43" i="9"/>
  <c r="KI43" i="9"/>
  <c r="KH43" i="9"/>
  <c r="KG43" i="9"/>
  <c r="KF43" i="9"/>
  <c r="KE43" i="9"/>
  <c r="KD43" i="9"/>
  <c r="KC43" i="9"/>
  <c r="KB43" i="9"/>
  <c r="KA43" i="9"/>
  <c r="JZ43" i="9"/>
  <c r="JY43" i="9"/>
  <c r="JX43" i="9"/>
  <c r="JW43" i="9"/>
  <c r="JV43" i="9"/>
  <c r="JU43" i="9"/>
  <c r="JT43" i="9"/>
  <c r="JS43" i="9"/>
  <c r="JR43" i="9"/>
  <c r="JQ43" i="9"/>
  <c r="JP43" i="9"/>
  <c r="JO43" i="9"/>
  <c r="JN43" i="9"/>
  <c r="JM43" i="9"/>
  <c r="JL43" i="9"/>
  <c r="JK43" i="9"/>
  <c r="JJ43" i="9"/>
  <c r="JI43" i="9"/>
  <c r="JH43" i="9"/>
  <c r="JG43" i="9"/>
  <c r="JF43" i="9"/>
  <c r="JE43" i="9"/>
  <c r="JD43" i="9"/>
  <c r="JC43" i="9"/>
  <c r="JB43" i="9"/>
  <c r="JA43" i="9"/>
  <c r="IZ43" i="9"/>
  <c r="IY43" i="9"/>
  <c r="IX43" i="9"/>
  <c r="IW43" i="9"/>
  <c r="IV43" i="9"/>
  <c r="IU43" i="9"/>
  <c r="IT43" i="9"/>
  <c r="IS43" i="9"/>
  <c r="IR43" i="9"/>
  <c r="IQ43" i="9"/>
  <c r="IP43" i="9"/>
  <c r="IO43" i="9"/>
  <c r="IN43" i="9"/>
  <c r="IM43" i="9"/>
  <c r="IL43" i="9"/>
  <c r="IK43" i="9"/>
  <c r="IJ43" i="9"/>
  <c r="II43" i="9"/>
  <c r="IH43" i="9"/>
  <c r="IG43" i="9"/>
  <c r="IF43" i="9"/>
  <c r="IE43" i="9"/>
  <c r="ID43" i="9"/>
  <c r="IC43" i="9"/>
  <c r="IB43" i="9"/>
  <c r="IA43" i="9"/>
  <c r="HZ43" i="9"/>
  <c r="HY43" i="9"/>
  <c r="HX43" i="9"/>
  <c r="HW43" i="9"/>
  <c r="HV43" i="9"/>
  <c r="HU43" i="9"/>
  <c r="HT43" i="9"/>
  <c r="HS43" i="9"/>
  <c r="HR43" i="9"/>
  <c r="HQ43" i="9"/>
  <c r="HP43" i="9"/>
  <c r="HO43" i="9"/>
  <c r="HN43" i="9"/>
  <c r="HM43" i="9"/>
  <c r="HL43" i="9"/>
  <c r="HK43" i="9"/>
  <c r="HJ43" i="9"/>
  <c r="HI43" i="9"/>
  <c r="HH43" i="9"/>
  <c r="HG43" i="9"/>
  <c r="HF43" i="9"/>
  <c r="HE43" i="9"/>
  <c r="HD43" i="9"/>
  <c r="HC43" i="9"/>
  <c r="HB43" i="9"/>
  <c r="HA43" i="9"/>
  <c r="GZ43" i="9"/>
  <c r="GY43" i="9"/>
  <c r="GX43" i="9"/>
  <c r="GW43" i="9"/>
  <c r="GV43" i="9"/>
  <c r="GU43" i="9"/>
  <c r="GT43" i="9"/>
  <c r="GS43" i="9"/>
  <c r="GR43" i="9"/>
  <c r="GQ43" i="9"/>
  <c r="GP43" i="9"/>
  <c r="GO43" i="9"/>
  <c r="GN43" i="9"/>
  <c r="GM43" i="9"/>
  <c r="GL43" i="9"/>
  <c r="GK43" i="9"/>
  <c r="GJ43" i="9"/>
  <c r="GI43" i="9"/>
  <c r="GH43" i="9"/>
  <c r="GG43" i="9"/>
  <c r="GF43" i="9"/>
  <c r="GE43" i="9"/>
  <c r="GD43" i="9"/>
  <c r="GC43" i="9"/>
  <c r="GB43" i="9"/>
  <c r="GA43" i="9"/>
  <c r="FZ43" i="9"/>
  <c r="FY43" i="9"/>
  <c r="FX43" i="9"/>
  <c r="FW43" i="9"/>
  <c r="FV43" i="9"/>
  <c r="FU43" i="9"/>
  <c r="FT43" i="9"/>
  <c r="FS43" i="9"/>
  <c r="FR43" i="9"/>
  <c r="FQ43" i="9"/>
  <c r="FP43" i="9"/>
  <c r="FO43" i="9"/>
  <c r="FN43" i="9"/>
  <c r="FM43" i="9"/>
  <c r="FL43" i="9"/>
  <c r="FK43" i="9"/>
  <c r="FJ43" i="9"/>
  <c r="FI43" i="9"/>
  <c r="FH43" i="9"/>
  <c r="FG43" i="9"/>
  <c r="FF43" i="9"/>
  <c r="FE43" i="9"/>
  <c r="FD43" i="9"/>
  <c r="FC43" i="9"/>
  <c r="FB43" i="9"/>
  <c r="FA43" i="9"/>
  <c r="EZ43" i="9"/>
  <c r="EY43" i="9"/>
  <c r="EX43" i="9"/>
  <c r="EW43" i="9"/>
  <c r="EV43" i="9"/>
  <c r="EU43" i="9"/>
  <c r="ET43" i="9"/>
  <c r="ES43" i="9"/>
  <c r="ER43" i="9"/>
  <c r="EQ43" i="9"/>
  <c r="EP43" i="9"/>
  <c r="EO43" i="9"/>
  <c r="EN43" i="9"/>
  <c r="EM43" i="9"/>
  <c r="EL43" i="9"/>
  <c r="EK43" i="9"/>
  <c r="EJ43" i="9"/>
  <c r="EI43" i="9"/>
  <c r="EH43" i="9"/>
  <c r="EG43" i="9"/>
  <c r="EF43" i="9"/>
  <c r="EE43" i="9"/>
  <c r="ED43" i="9"/>
  <c r="EC43" i="9"/>
  <c r="EB43" i="9"/>
  <c r="EA43" i="9"/>
  <c r="DZ43" i="9"/>
  <c r="DY43" i="9"/>
  <c r="DX43" i="9"/>
  <c r="DW43" i="9"/>
  <c r="DV43" i="9"/>
  <c r="DU43" i="9"/>
  <c r="DT43" i="9"/>
  <c r="DS43" i="9"/>
  <c r="DR43" i="9"/>
  <c r="DQ43" i="9"/>
  <c r="DP43" i="9"/>
  <c r="DO43" i="9"/>
  <c r="DN43" i="9"/>
  <c r="DM43" i="9"/>
  <c r="DL43" i="9"/>
  <c r="DK43" i="9"/>
  <c r="DJ43" i="9"/>
  <c r="DI43" i="9"/>
  <c r="DH43" i="9"/>
  <c r="DG43" i="9"/>
  <c r="DF43" i="9"/>
  <c r="DE43" i="9"/>
  <c r="DD43" i="9"/>
  <c r="DC43" i="9"/>
  <c r="DB43" i="9"/>
  <c r="DA43" i="9"/>
  <c r="CZ43" i="9"/>
  <c r="CY43" i="9"/>
  <c r="CX43" i="9"/>
  <c r="CW43" i="9"/>
  <c r="CV43" i="9"/>
  <c r="CU43" i="9"/>
  <c r="CT43" i="9"/>
  <c r="CS43" i="9"/>
  <c r="CR43" i="9"/>
  <c r="CQ43" i="9"/>
  <c r="CP43" i="9"/>
  <c r="CO43" i="9"/>
  <c r="CN43" i="9"/>
  <c r="CM43" i="9"/>
  <c r="CL43" i="9"/>
  <c r="CK43" i="9"/>
  <c r="CJ43" i="9"/>
  <c r="CI43" i="9"/>
  <c r="CH43" i="9"/>
  <c r="CG43" i="9"/>
  <c r="CF43" i="9"/>
  <c r="CE43" i="9"/>
  <c r="CD43" i="9"/>
  <c r="CC43" i="9"/>
  <c r="CB43" i="9"/>
  <c r="CA43" i="9"/>
  <c r="BZ43" i="9"/>
  <c r="BY43" i="9"/>
  <c r="BX43" i="9"/>
  <c r="BW43" i="9"/>
  <c r="BV43" i="9"/>
  <c r="BU43" i="9"/>
  <c r="BT43" i="9"/>
  <c r="BS43" i="9"/>
  <c r="BR43" i="9"/>
  <c r="BQ43" i="9"/>
  <c r="BP43" i="9"/>
  <c r="BO43" i="9"/>
  <c r="BN43" i="9"/>
  <c r="BM43" i="9"/>
  <c r="BL43" i="9"/>
  <c r="BK43" i="9"/>
  <c r="BJ43" i="9"/>
  <c r="BI43" i="9"/>
  <c r="BH43" i="9"/>
  <c r="BG43" i="9"/>
  <c r="BF43" i="9"/>
  <c r="BE43" i="9"/>
  <c r="BD43" i="9"/>
  <c r="BC43" i="9"/>
  <c r="BB43" i="9"/>
  <c r="BA43" i="9"/>
  <c r="AZ43" i="9"/>
  <c r="AY43" i="9"/>
  <c r="AX43" i="9"/>
  <c r="AW43" i="9"/>
  <c r="AV43" i="9"/>
  <c r="AU43" i="9"/>
  <c r="AT43" i="9"/>
  <c r="AS43" i="9"/>
  <c r="AR43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ND42" i="9"/>
  <c r="NC42" i="9"/>
  <c r="NB42" i="9"/>
  <c r="NA42" i="9"/>
  <c r="MZ42" i="9"/>
  <c r="MY42" i="9"/>
  <c r="MX42" i="9"/>
  <c r="MW42" i="9"/>
  <c r="MV42" i="9"/>
  <c r="MU42" i="9"/>
  <c r="MT42" i="9"/>
  <c r="MS42" i="9"/>
  <c r="MR42" i="9"/>
  <c r="MQ42" i="9"/>
  <c r="MP42" i="9"/>
  <c r="MO42" i="9"/>
  <c r="MN42" i="9"/>
  <c r="MM42" i="9"/>
  <c r="ML42" i="9"/>
  <c r="MK42" i="9"/>
  <c r="MJ42" i="9"/>
  <c r="MI42" i="9"/>
  <c r="MH42" i="9"/>
  <c r="MG42" i="9"/>
  <c r="MF42" i="9"/>
  <c r="ME42" i="9"/>
  <c r="MD42" i="9"/>
  <c r="MC42" i="9"/>
  <c r="MB42" i="9"/>
  <c r="MA42" i="9"/>
  <c r="LZ42" i="9"/>
  <c r="LY42" i="9"/>
  <c r="LX42" i="9"/>
  <c r="LW42" i="9"/>
  <c r="LV42" i="9"/>
  <c r="LU42" i="9"/>
  <c r="LT42" i="9"/>
  <c r="LS42" i="9"/>
  <c r="LR42" i="9"/>
  <c r="LQ42" i="9"/>
  <c r="LP42" i="9"/>
  <c r="LO42" i="9"/>
  <c r="LN42" i="9"/>
  <c r="LM42" i="9"/>
  <c r="LL42" i="9"/>
  <c r="LK42" i="9"/>
  <c r="LJ42" i="9"/>
  <c r="LI42" i="9"/>
  <c r="LH42" i="9"/>
  <c r="LG42" i="9"/>
  <c r="LF42" i="9"/>
  <c r="LE42" i="9"/>
  <c r="LD42" i="9"/>
  <c r="LC42" i="9"/>
  <c r="LB42" i="9"/>
  <c r="LA42" i="9"/>
  <c r="KZ42" i="9"/>
  <c r="KY42" i="9"/>
  <c r="KX42" i="9"/>
  <c r="KW42" i="9"/>
  <c r="KV42" i="9"/>
  <c r="KU42" i="9"/>
  <c r="KT42" i="9"/>
  <c r="KS42" i="9"/>
  <c r="KR42" i="9"/>
  <c r="KQ42" i="9"/>
  <c r="KP42" i="9"/>
  <c r="KO42" i="9"/>
  <c r="KN42" i="9"/>
  <c r="KM42" i="9"/>
  <c r="KL42" i="9"/>
  <c r="KK42" i="9"/>
  <c r="KJ42" i="9"/>
  <c r="KI42" i="9"/>
  <c r="KH42" i="9"/>
  <c r="KG42" i="9"/>
  <c r="KF42" i="9"/>
  <c r="KE42" i="9"/>
  <c r="KD42" i="9"/>
  <c r="KC42" i="9"/>
  <c r="KB42" i="9"/>
  <c r="KA42" i="9"/>
  <c r="JZ42" i="9"/>
  <c r="JY42" i="9"/>
  <c r="JX42" i="9"/>
  <c r="JW42" i="9"/>
  <c r="JV42" i="9"/>
  <c r="JU42" i="9"/>
  <c r="JT42" i="9"/>
  <c r="JS42" i="9"/>
  <c r="JR42" i="9"/>
  <c r="JQ42" i="9"/>
  <c r="JP42" i="9"/>
  <c r="JO42" i="9"/>
  <c r="JN42" i="9"/>
  <c r="JM42" i="9"/>
  <c r="JL42" i="9"/>
  <c r="JK42" i="9"/>
  <c r="JJ42" i="9"/>
  <c r="JI42" i="9"/>
  <c r="JH42" i="9"/>
  <c r="JG42" i="9"/>
  <c r="JF42" i="9"/>
  <c r="JE42" i="9"/>
  <c r="JD42" i="9"/>
  <c r="JC42" i="9"/>
  <c r="JB42" i="9"/>
  <c r="JA42" i="9"/>
  <c r="IZ42" i="9"/>
  <c r="IY42" i="9"/>
  <c r="IX42" i="9"/>
  <c r="IW42" i="9"/>
  <c r="IV42" i="9"/>
  <c r="IU42" i="9"/>
  <c r="IT42" i="9"/>
  <c r="IS42" i="9"/>
  <c r="IR42" i="9"/>
  <c r="IQ42" i="9"/>
  <c r="IP42" i="9"/>
  <c r="IO42" i="9"/>
  <c r="IN42" i="9"/>
  <c r="IM42" i="9"/>
  <c r="IL42" i="9"/>
  <c r="IK42" i="9"/>
  <c r="IJ42" i="9"/>
  <c r="II42" i="9"/>
  <c r="IH42" i="9"/>
  <c r="IG42" i="9"/>
  <c r="IF42" i="9"/>
  <c r="IE42" i="9"/>
  <c r="ID42" i="9"/>
  <c r="IC42" i="9"/>
  <c r="IB42" i="9"/>
  <c r="IA42" i="9"/>
  <c r="HZ42" i="9"/>
  <c r="HY42" i="9"/>
  <c r="HX42" i="9"/>
  <c r="HW42" i="9"/>
  <c r="HV42" i="9"/>
  <c r="HU42" i="9"/>
  <c r="HT42" i="9"/>
  <c r="HS42" i="9"/>
  <c r="HR42" i="9"/>
  <c r="HQ42" i="9"/>
  <c r="HP42" i="9"/>
  <c r="HO42" i="9"/>
  <c r="HN42" i="9"/>
  <c r="HM42" i="9"/>
  <c r="HL42" i="9"/>
  <c r="HK42" i="9"/>
  <c r="HJ42" i="9"/>
  <c r="HI42" i="9"/>
  <c r="HH42" i="9"/>
  <c r="HG42" i="9"/>
  <c r="HF42" i="9"/>
  <c r="HE42" i="9"/>
  <c r="HD42" i="9"/>
  <c r="HC42" i="9"/>
  <c r="HB42" i="9"/>
  <c r="HA42" i="9"/>
  <c r="GZ42" i="9"/>
  <c r="GY42" i="9"/>
  <c r="GX42" i="9"/>
  <c r="GW42" i="9"/>
  <c r="GV42" i="9"/>
  <c r="GU42" i="9"/>
  <c r="GT42" i="9"/>
  <c r="GS42" i="9"/>
  <c r="GR42" i="9"/>
  <c r="GQ42" i="9"/>
  <c r="GP42" i="9"/>
  <c r="GO42" i="9"/>
  <c r="GN42" i="9"/>
  <c r="GM42" i="9"/>
  <c r="GL42" i="9"/>
  <c r="GK42" i="9"/>
  <c r="GJ42" i="9"/>
  <c r="GI42" i="9"/>
  <c r="GH42" i="9"/>
  <c r="GG42" i="9"/>
  <c r="GF42" i="9"/>
  <c r="GE42" i="9"/>
  <c r="GD42" i="9"/>
  <c r="GC42" i="9"/>
  <c r="GB42" i="9"/>
  <c r="GA42" i="9"/>
  <c r="FZ42" i="9"/>
  <c r="FY42" i="9"/>
  <c r="FX42" i="9"/>
  <c r="FW42" i="9"/>
  <c r="FV42" i="9"/>
  <c r="FU42" i="9"/>
  <c r="FT42" i="9"/>
  <c r="FS42" i="9"/>
  <c r="FR42" i="9"/>
  <c r="FQ42" i="9"/>
  <c r="FP42" i="9"/>
  <c r="FO42" i="9"/>
  <c r="FN42" i="9"/>
  <c r="FM42" i="9"/>
  <c r="FL42" i="9"/>
  <c r="FK42" i="9"/>
  <c r="FJ42" i="9"/>
  <c r="FI42" i="9"/>
  <c r="FH42" i="9"/>
  <c r="FG42" i="9"/>
  <c r="FF42" i="9"/>
  <c r="FE42" i="9"/>
  <c r="FD42" i="9"/>
  <c r="FC42" i="9"/>
  <c r="FB42" i="9"/>
  <c r="FA42" i="9"/>
  <c r="EZ42" i="9"/>
  <c r="EY42" i="9"/>
  <c r="EX42" i="9"/>
  <c r="EW42" i="9"/>
  <c r="EV42" i="9"/>
  <c r="EU42" i="9"/>
  <c r="ET42" i="9"/>
  <c r="ES42" i="9"/>
  <c r="ER42" i="9"/>
  <c r="EQ42" i="9"/>
  <c r="EP42" i="9"/>
  <c r="EO42" i="9"/>
  <c r="EN42" i="9"/>
  <c r="EM42" i="9"/>
  <c r="EL42" i="9"/>
  <c r="EK42" i="9"/>
  <c r="EJ42" i="9"/>
  <c r="EI42" i="9"/>
  <c r="EH42" i="9"/>
  <c r="EG42" i="9"/>
  <c r="EF42" i="9"/>
  <c r="EE42" i="9"/>
  <c r="ED42" i="9"/>
  <c r="EC42" i="9"/>
  <c r="EB42" i="9"/>
  <c r="EA42" i="9"/>
  <c r="DZ42" i="9"/>
  <c r="DY42" i="9"/>
  <c r="DX42" i="9"/>
  <c r="DW42" i="9"/>
  <c r="DV42" i="9"/>
  <c r="DU42" i="9"/>
  <c r="DT42" i="9"/>
  <c r="DS42" i="9"/>
  <c r="DR42" i="9"/>
  <c r="DQ42" i="9"/>
  <c r="DP42" i="9"/>
  <c r="DO42" i="9"/>
  <c r="DN42" i="9"/>
  <c r="DM42" i="9"/>
  <c r="DL42" i="9"/>
  <c r="DK42" i="9"/>
  <c r="DJ42" i="9"/>
  <c r="DI42" i="9"/>
  <c r="DH42" i="9"/>
  <c r="DG42" i="9"/>
  <c r="DF42" i="9"/>
  <c r="DE42" i="9"/>
  <c r="DD42" i="9"/>
  <c r="DC42" i="9"/>
  <c r="DB42" i="9"/>
  <c r="DA42" i="9"/>
  <c r="CZ42" i="9"/>
  <c r="CY42" i="9"/>
  <c r="CX42" i="9"/>
  <c r="CW42" i="9"/>
  <c r="CV42" i="9"/>
  <c r="CU42" i="9"/>
  <c r="CT42" i="9"/>
  <c r="CS42" i="9"/>
  <c r="CR42" i="9"/>
  <c r="CQ42" i="9"/>
  <c r="CP42" i="9"/>
  <c r="CO42" i="9"/>
  <c r="CN42" i="9"/>
  <c r="CM42" i="9"/>
  <c r="CL42" i="9"/>
  <c r="CK42" i="9"/>
  <c r="CJ42" i="9"/>
  <c r="CI42" i="9"/>
  <c r="CH42" i="9"/>
  <c r="CG42" i="9"/>
  <c r="CF42" i="9"/>
  <c r="CE42" i="9"/>
  <c r="CD42" i="9"/>
  <c r="CC42" i="9"/>
  <c r="CB42" i="9"/>
  <c r="CA42" i="9"/>
  <c r="BZ42" i="9"/>
  <c r="BY42" i="9"/>
  <c r="BX42" i="9"/>
  <c r="BW42" i="9"/>
  <c r="BV42" i="9"/>
  <c r="BU42" i="9"/>
  <c r="BT42" i="9"/>
  <c r="BS42" i="9"/>
  <c r="BR42" i="9"/>
  <c r="BQ42" i="9"/>
  <c r="BP42" i="9"/>
  <c r="BO42" i="9"/>
  <c r="BN42" i="9"/>
  <c r="BM42" i="9"/>
  <c r="BL42" i="9"/>
  <c r="BK42" i="9"/>
  <c r="BJ42" i="9"/>
  <c r="BI42" i="9"/>
  <c r="BH42" i="9"/>
  <c r="BG42" i="9"/>
  <c r="BF42" i="9"/>
  <c r="BE42" i="9"/>
  <c r="BD42" i="9"/>
  <c r="BC42" i="9"/>
  <c r="BB42" i="9"/>
  <c r="BA42" i="9"/>
  <c r="AZ42" i="9"/>
  <c r="AY42" i="9"/>
  <c r="AX42" i="9"/>
  <c r="AW42" i="9"/>
  <c r="AV42" i="9"/>
  <c r="AU42" i="9"/>
  <c r="AT42" i="9"/>
  <c r="AS42" i="9"/>
  <c r="AR42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ND41" i="9"/>
  <c r="NC41" i="9"/>
  <c r="NB41" i="9"/>
  <c r="NA41" i="9"/>
  <c r="MZ41" i="9"/>
  <c r="MY41" i="9"/>
  <c r="MX41" i="9"/>
  <c r="MW41" i="9"/>
  <c r="MV41" i="9"/>
  <c r="MU41" i="9"/>
  <c r="MT41" i="9"/>
  <c r="MS41" i="9"/>
  <c r="MR41" i="9"/>
  <c r="MQ41" i="9"/>
  <c r="MP41" i="9"/>
  <c r="MO41" i="9"/>
  <c r="MN41" i="9"/>
  <c r="MM41" i="9"/>
  <c r="ML41" i="9"/>
  <c r="MK41" i="9"/>
  <c r="MJ41" i="9"/>
  <c r="MI41" i="9"/>
  <c r="MH41" i="9"/>
  <c r="MG41" i="9"/>
  <c r="MF41" i="9"/>
  <c r="ME41" i="9"/>
  <c r="MD41" i="9"/>
  <c r="MC41" i="9"/>
  <c r="MB41" i="9"/>
  <c r="MA41" i="9"/>
  <c r="LZ41" i="9"/>
  <c r="LY41" i="9"/>
  <c r="LX41" i="9"/>
  <c r="LW41" i="9"/>
  <c r="LV41" i="9"/>
  <c r="LU41" i="9"/>
  <c r="LT41" i="9"/>
  <c r="LS41" i="9"/>
  <c r="LR41" i="9"/>
  <c r="LQ41" i="9"/>
  <c r="LP41" i="9"/>
  <c r="LO41" i="9"/>
  <c r="LN41" i="9"/>
  <c r="LM41" i="9"/>
  <c r="LL41" i="9"/>
  <c r="LK41" i="9"/>
  <c r="LJ41" i="9"/>
  <c r="LI41" i="9"/>
  <c r="LH41" i="9"/>
  <c r="LG41" i="9"/>
  <c r="LF41" i="9"/>
  <c r="LE41" i="9"/>
  <c r="LD41" i="9"/>
  <c r="LC41" i="9"/>
  <c r="LB41" i="9"/>
  <c r="LA41" i="9"/>
  <c r="KZ41" i="9"/>
  <c r="KY41" i="9"/>
  <c r="KX41" i="9"/>
  <c r="KW41" i="9"/>
  <c r="KV41" i="9"/>
  <c r="KU41" i="9"/>
  <c r="KT41" i="9"/>
  <c r="KS41" i="9"/>
  <c r="KR41" i="9"/>
  <c r="KQ41" i="9"/>
  <c r="KP41" i="9"/>
  <c r="KO41" i="9"/>
  <c r="KN41" i="9"/>
  <c r="KM41" i="9"/>
  <c r="KL41" i="9"/>
  <c r="KK41" i="9"/>
  <c r="KJ41" i="9"/>
  <c r="KI41" i="9"/>
  <c r="KH41" i="9"/>
  <c r="KG41" i="9"/>
  <c r="KF41" i="9"/>
  <c r="KE41" i="9"/>
  <c r="KD41" i="9"/>
  <c r="KC41" i="9"/>
  <c r="KB41" i="9"/>
  <c r="KA41" i="9"/>
  <c r="JZ41" i="9"/>
  <c r="JY41" i="9"/>
  <c r="JX41" i="9"/>
  <c r="JW41" i="9"/>
  <c r="JV41" i="9"/>
  <c r="JU41" i="9"/>
  <c r="JT41" i="9"/>
  <c r="JS41" i="9"/>
  <c r="JR41" i="9"/>
  <c r="JQ41" i="9"/>
  <c r="JP41" i="9"/>
  <c r="JO41" i="9"/>
  <c r="JN41" i="9"/>
  <c r="JM41" i="9"/>
  <c r="JL41" i="9"/>
  <c r="JK41" i="9"/>
  <c r="JJ41" i="9"/>
  <c r="JI41" i="9"/>
  <c r="JH41" i="9"/>
  <c r="JG41" i="9"/>
  <c r="JF41" i="9"/>
  <c r="JE41" i="9"/>
  <c r="JD41" i="9"/>
  <c r="JC41" i="9"/>
  <c r="JB41" i="9"/>
  <c r="JA41" i="9"/>
  <c r="IZ41" i="9"/>
  <c r="IY41" i="9"/>
  <c r="IX41" i="9"/>
  <c r="IW41" i="9"/>
  <c r="IV41" i="9"/>
  <c r="IU41" i="9"/>
  <c r="IT41" i="9"/>
  <c r="IS41" i="9"/>
  <c r="IR41" i="9"/>
  <c r="IQ41" i="9"/>
  <c r="IP41" i="9"/>
  <c r="IO41" i="9"/>
  <c r="IN41" i="9"/>
  <c r="IM41" i="9"/>
  <c r="IL41" i="9"/>
  <c r="IK41" i="9"/>
  <c r="IJ41" i="9"/>
  <c r="II41" i="9"/>
  <c r="IH41" i="9"/>
  <c r="IG41" i="9"/>
  <c r="IF41" i="9"/>
  <c r="IE41" i="9"/>
  <c r="ID41" i="9"/>
  <c r="IC41" i="9"/>
  <c r="IB41" i="9"/>
  <c r="IA41" i="9"/>
  <c r="HZ41" i="9"/>
  <c r="HY41" i="9"/>
  <c r="HX41" i="9"/>
  <c r="HW41" i="9"/>
  <c r="HV41" i="9"/>
  <c r="HU41" i="9"/>
  <c r="HT41" i="9"/>
  <c r="HS41" i="9"/>
  <c r="HR41" i="9"/>
  <c r="HQ41" i="9"/>
  <c r="HP41" i="9"/>
  <c r="HO41" i="9"/>
  <c r="HN41" i="9"/>
  <c r="HM41" i="9"/>
  <c r="HL41" i="9"/>
  <c r="HK41" i="9"/>
  <c r="HJ41" i="9"/>
  <c r="HI41" i="9"/>
  <c r="HH41" i="9"/>
  <c r="HG41" i="9"/>
  <c r="HF41" i="9"/>
  <c r="HE41" i="9"/>
  <c r="HD41" i="9"/>
  <c r="HC41" i="9"/>
  <c r="HB41" i="9"/>
  <c r="HA41" i="9"/>
  <c r="GZ41" i="9"/>
  <c r="GY41" i="9"/>
  <c r="GX41" i="9"/>
  <c r="GW41" i="9"/>
  <c r="GV41" i="9"/>
  <c r="GU41" i="9"/>
  <c r="GT41" i="9"/>
  <c r="GS41" i="9"/>
  <c r="GR41" i="9"/>
  <c r="GQ41" i="9"/>
  <c r="GP41" i="9"/>
  <c r="GO41" i="9"/>
  <c r="GN41" i="9"/>
  <c r="GM41" i="9"/>
  <c r="GL41" i="9"/>
  <c r="GK41" i="9"/>
  <c r="GJ41" i="9"/>
  <c r="GI41" i="9"/>
  <c r="GH41" i="9"/>
  <c r="GG41" i="9"/>
  <c r="GF41" i="9"/>
  <c r="GE41" i="9"/>
  <c r="GD41" i="9"/>
  <c r="GC41" i="9"/>
  <c r="GB41" i="9"/>
  <c r="GA41" i="9"/>
  <c r="FZ41" i="9"/>
  <c r="FY41" i="9"/>
  <c r="FX41" i="9"/>
  <c r="FW41" i="9"/>
  <c r="FV41" i="9"/>
  <c r="FU41" i="9"/>
  <c r="FT41" i="9"/>
  <c r="FS41" i="9"/>
  <c r="FR41" i="9"/>
  <c r="FQ41" i="9"/>
  <c r="FP41" i="9"/>
  <c r="FO41" i="9"/>
  <c r="FN41" i="9"/>
  <c r="FM41" i="9"/>
  <c r="FL41" i="9"/>
  <c r="FK41" i="9"/>
  <c r="FJ41" i="9"/>
  <c r="FI41" i="9"/>
  <c r="FH41" i="9"/>
  <c r="FG41" i="9"/>
  <c r="FF41" i="9"/>
  <c r="FE41" i="9"/>
  <c r="FD41" i="9"/>
  <c r="FC41" i="9"/>
  <c r="FB41" i="9"/>
  <c r="FA41" i="9"/>
  <c r="EZ41" i="9"/>
  <c r="EY41" i="9"/>
  <c r="EX41" i="9"/>
  <c r="EW41" i="9"/>
  <c r="EV41" i="9"/>
  <c r="EU41" i="9"/>
  <c r="ET41" i="9"/>
  <c r="ES41" i="9"/>
  <c r="ER41" i="9"/>
  <c r="EQ41" i="9"/>
  <c r="EP41" i="9"/>
  <c r="EO41" i="9"/>
  <c r="EN41" i="9"/>
  <c r="EM41" i="9"/>
  <c r="EL41" i="9"/>
  <c r="EK41" i="9"/>
  <c r="EJ41" i="9"/>
  <c r="EI41" i="9"/>
  <c r="EH41" i="9"/>
  <c r="EG41" i="9"/>
  <c r="EF41" i="9"/>
  <c r="EE41" i="9"/>
  <c r="ED41" i="9"/>
  <c r="EC41" i="9"/>
  <c r="EB41" i="9"/>
  <c r="EA41" i="9"/>
  <c r="DZ41" i="9"/>
  <c r="DY41" i="9"/>
  <c r="DX41" i="9"/>
  <c r="DW41" i="9"/>
  <c r="DV41" i="9"/>
  <c r="DU41" i="9"/>
  <c r="DT41" i="9"/>
  <c r="DS41" i="9"/>
  <c r="DR41" i="9"/>
  <c r="DQ41" i="9"/>
  <c r="DP41" i="9"/>
  <c r="DO41" i="9"/>
  <c r="DN41" i="9"/>
  <c r="DM41" i="9"/>
  <c r="DL41" i="9"/>
  <c r="DK41" i="9"/>
  <c r="DJ41" i="9"/>
  <c r="DI41" i="9"/>
  <c r="DH41" i="9"/>
  <c r="DG41" i="9"/>
  <c r="DF41" i="9"/>
  <c r="DE41" i="9"/>
  <c r="DD41" i="9"/>
  <c r="DC41" i="9"/>
  <c r="DB41" i="9"/>
  <c r="DA41" i="9"/>
  <c r="CZ41" i="9"/>
  <c r="CY41" i="9"/>
  <c r="CX41" i="9"/>
  <c r="CW41" i="9"/>
  <c r="CV41" i="9"/>
  <c r="CU41" i="9"/>
  <c r="CT41" i="9"/>
  <c r="CS41" i="9"/>
  <c r="CR41" i="9"/>
  <c r="CQ41" i="9"/>
  <c r="CP41" i="9"/>
  <c r="CO41" i="9"/>
  <c r="CN41" i="9"/>
  <c r="CM41" i="9"/>
  <c r="CL41" i="9"/>
  <c r="CK41" i="9"/>
  <c r="CJ41" i="9"/>
  <c r="CI41" i="9"/>
  <c r="CH41" i="9"/>
  <c r="CG41" i="9"/>
  <c r="CF41" i="9"/>
  <c r="CE41" i="9"/>
  <c r="CD41" i="9"/>
  <c r="CC41" i="9"/>
  <c r="CB41" i="9"/>
  <c r="CA41" i="9"/>
  <c r="BZ41" i="9"/>
  <c r="BY41" i="9"/>
  <c r="BX41" i="9"/>
  <c r="BW41" i="9"/>
  <c r="BV41" i="9"/>
  <c r="BU41" i="9"/>
  <c r="BT41" i="9"/>
  <c r="BS41" i="9"/>
  <c r="BR41" i="9"/>
  <c r="BQ41" i="9"/>
  <c r="BP41" i="9"/>
  <c r="BO41" i="9"/>
  <c r="BN41" i="9"/>
  <c r="BM41" i="9"/>
  <c r="BL41" i="9"/>
  <c r="BK41" i="9"/>
  <c r="BJ41" i="9"/>
  <c r="BI41" i="9"/>
  <c r="BH41" i="9"/>
  <c r="BG41" i="9"/>
  <c r="BF41" i="9"/>
  <c r="BE41" i="9"/>
  <c r="BD41" i="9"/>
  <c r="BC41" i="9"/>
  <c r="BB41" i="9"/>
  <c r="BA41" i="9"/>
  <c r="AZ41" i="9"/>
  <c r="AY41" i="9"/>
  <c r="AX41" i="9"/>
  <c r="AW41" i="9"/>
  <c r="AV41" i="9"/>
  <c r="AU41" i="9"/>
  <c r="AT41" i="9"/>
  <c r="AS41" i="9"/>
  <c r="AR41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ND40" i="9"/>
  <c r="NC40" i="9"/>
  <c r="NB40" i="9"/>
  <c r="NA40" i="9"/>
  <c r="MZ40" i="9"/>
  <c r="MY40" i="9"/>
  <c r="MX40" i="9"/>
  <c r="MW40" i="9"/>
  <c r="MV40" i="9"/>
  <c r="MU40" i="9"/>
  <c r="MT40" i="9"/>
  <c r="MS40" i="9"/>
  <c r="MR40" i="9"/>
  <c r="MQ40" i="9"/>
  <c r="MP40" i="9"/>
  <c r="MO40" i="9"/>
  <c r="MN40" i="9"/>
  <c r="MM40" i="9"/>
  <c r="ML40" i="9"/>
  <c r="MK40" i="9"/>
  <c r="MJ40" i="9"/>
  <c r="MI40" i="9"/>
  <c r="MH40" i="9"/>
  <c r="MG40" i="9"/>
  <c r="MF40" i="9"/>
  <c r="ME40" i="9"/>
  <c r="MD40" i="9"/>
  <c r="MC40" i="9"/>
  <c r="MB40" i="9"/>
  <c r="MA40" i="9"/>
  <c r="LZ40" i="9"/>
  <c r="LY40" i="9"/>
  <c r="LX40" i="9"/>
  <c r="LW40" i="9"/>
  <c r="LV40" i="9"/>
  <c r="LU40" i="9"/>
  <c r="LT40" i="9"/>
  <c r="LS40" i="9"/>
  <c r="LR40" i="9"/>
  <c r="LQ40" i="9"/>
  <c r="LP40" i="9"/>
  <c r="LO40" i="9"/>
  <c r="LN40" i="9"/>
  <c r="LM40" i="9"/>
  <c r="LL40" i="9"/>
  <c r="LK40" i="9"/>
  <c r="LJ40" i="9"/>
  <c r="LI40" i="9"/>
  <c r="LH40" i="9"/>
  <c r="LG40" i="9"/>
  <c r="LF40" i="9"/>
  <c r="LE40" i="9"/>
  <c r="LD40" i="9"/>
  <c r="LC40" i="9"/>
  <c r="LB40" i="9"/>
  <c r="LA40" i="9"/>
  <c r="KZ40" i="9"/>
  <c r="KY40" i="9"/>
  <c r="KX40" i="9"/>
  <c r="KW40" i="9"/>
  <c r="KV40" i="9"/>
  <c r="KU40" i="9"/>
  <c r="KT40" i="9"/>
  <c r="KS40" i="9"/>
  <c r="KR40" i="9"/>
  <c r="KQ40" i="9"/>
  <c r="KP40" i="9"/>
  <c r="KO40" i="9"/>
  <c r="KN40" i="9"/>
  <c r="KM40" i="9"/>
  <c r="KL40" i="9"/>
  <c r="KK40" i="9"/>
  <c r="KJ40" i="9"/>
  <c r="KI40" i="9"/>
  <c r="KH40" i="9"/>
  <c r="KG40" i="9"/>
  <c r="KF40" i="9"/>
  <c r="KE40" i="9"/>
  <c r="KD40" i="9"/>
  <c r="KC40" i="9"/>
  <c r="KB40" i="9"/>
  <c r="KA40" i="9"/>
  <c r="JZ40" i="9"/>
  <c r="JY40" i="9"/>
  <c r="JX40" i="9"/>
  <c r="JW40" i="9"/>
  <c r="JV40" i="9"/>
  <c r="JU40" i="9"/>
  <c r="JT40" i="9"/>
  <c r="JS40" i="9"/>
  <c r="JR40" i="9"/>
  <c r="JQ40" i="9"/>
  <c r="JP40" i="9"/>
  <c r="JO40" i="9"/>
  <c r="JN40" i="9"/>
  <c r="JM40" i="9"/>
  <c r="JL40" i="9"/>
  <c r="JK40" i="9"/>
  <c r="JJ40" i="9"/>
  <c r="JI40" i="9"/>
  <c r="JH40" i="9"/>
  <c r="JG40" i="9"/>
  <c r="JF40" i="9"/>
  <c r="JE40" i="9"/>
  <c r="JD40" i="9"/>
  <c r="JC40" i="9"/>
  <c r="JB40" i="9"/>
  <c r="JA40" i="9"/>
  <c r="IZ40" i="9"/>
  <c r="IY40" i="9"/>
  <c r="IX40" i="9"/>
  <c r="IW40" i="9"/>
  <c r="IV40" i="9"/>
  <c r="IU40" i="9"/>
  <c r="IT40" i="9"/>
  <c r="IS40" i="9"/>
  <c r="IR40" i="9"/>
  <c r="IQ40" i="9"/>
  <c r="IP40" i="9"/>
  <c r="IO40" i="9"/>
  <c r="IN40" i="9"/>
  <c r="IM40" i="9"/>
  <c r="IL40" i="9"/>
  <c r="IK40" i="9"/>
  <c r="IJ40" i="9"/>
  <c r="II40" i="9"/>
  <c r="IH40" i="9"/>
  <c r="IG40" i="9"/>
  <c r="IF40" i="9"/>
  <c r="IE40" i="9"/>
  <c r="ID40" i="9"/>
  <c r="IC40" i="9"/>
  <c r="IB40" i="9"/>
  <c r="IA40" i="9"/>
  <c r="HZ40" i="9"/>
  <c r="HY40" i="9"/>
  <c r="HX40" i="9"/>
  <c r="HW40" i="9"/>
  <c r="HV40" i="9"/>
  <c r="HU40" i="9"/>
  <c r="HT40" i="9"/>
  <c r="HS40" i="9"/>
  <c r="HR40" i="9"/>
  <c r="HQ40" i="9"/>
  <c r="HP40" i="9"/>
  <c r="HO40" i="9"/>
  <c r="HN40" i="9"/>
  <c r="HM40" i="9"/>
  <c r="HL40" i="9"/>
  <c r="HK40" i="9"/>
  <c r="HJ40" i="9"/>
  <c r="HI40" i="9"/>
  <c r="HH40" i="9"/>
  <c r="HG40" i="9"/>
  <c r="HF40" i="9"/>
  <c r="HE40" i="9"/>
  <c r="HD40" i="9"/>
  <c r="HC40" i="9"/>
  <c r="HB40" i="9"/>
  <c r="HA40" i="9"/>
  <c r="GZ40" i="9"/>
  <c r="GY40" i="9"/>
  <c r="GX40" i="9"/>
  <c r="GW40" i="9"/>
  <c r="GV40" i="9"/>
  <c r="GU40" i="9"/>
  <c r="GT40" i="9"/>
  <c r="GS40" i="9"/>
  <c r="GR40" i="9"/>
  <c r="GQ40" i="9"/>
  <c r="GP40" i="9"/>
  <c r="GO40" i="9"/>
  <c r="GN40" i="9"/>
  <c r="GM40" i="9"/>
  <c r="GL40" i="9"/>
  <c r="GK40" i="9"/>
  <c r="GJ40" i="9"/>
  <c r="GI40" i="9"/>
  <c r="GH40" i="9"/>
  <c r="GG40" i="9"/>
  <c r="GF40" i="9"/>
  <c r="GE40" i="9"/>
  <c r="GD40" i="9"/>
  <c r="GC40" i="9"/>
  <c r="GB40" i="9"/>
  <c r="GA40" i="9"/>
  <c r="FZ40" i="9"/>
  <c r="FY40" i="9"/>
  <c r="FX40" i="9"/>
  <c r="FW40" i="9"/>
  <c r="FV40" i="9"/>
  <c r="FU40" i="9"/>
  <c r="FT40" i="9"/>
  <c r="FS40" i="9"/>
  <c r="FR40" i="9"/>
  <c r="FQ40" i="9"/>
  <c r="FP40" i="9"/>
  <c r="FO40" i="9"/>
  <c r="FN40" i="9"/>
  <c r="FM40" i="9"/>
  <c r="FL40" i="9"/>
  <c r="FK40" i="9"/>
  <c r="FJ40" i="9"/>
  <c r="FI40" i="9"/>
  <c r="FH40" i="9"/>
  <c r="FG40" i="9"/>
  <c r="FF40" i="9"/>
  <c r="FE40" i="9"/>
  <c r="FD40" i="9"/>
  <c r="FC40" i="9"/>
  <c r="FB40" i="9"/>
  <c r="FA40" i="9"/>
  <c r="EZ40" i="9"/>
  <c r="EY40" i="9"/>
  <c r="EX40" i="9"/>
  <c r="EW40" i="9"/>
  <c r="EV40" i="9"/>
  <c r="EU40" i="9"/>
  <c r="ET40" i="9"/>
  <c r="ES40" i="9"/>
  <c r="ER40" i="9"/>
  <c r="EQ40" i="9"/>
  <c r="EP40" i="9"/>
  <c r="EO40" i="9"/>
  <c r="EN40" i="9"/>
  <c r="EM40" i="9"/>
  <c r="EL40" i="9"/>
  <c r="EK40" i="9"/>
  <c r="EJ40" i="9"/>
  <c r="EI40" i="9"/>
  <c r="EH40" i="9"/>
  <c r="EG40" i="9"/>
  <c r="EF40" i="9"/>
  <c r="EE40" i="9"/>
  <c r="ED40" i="9"/>
  <c r="EC40" i="9"/>
  <c r="EB40" i="9"/>
  <c r="EA40" i="9"/>
  <c r="DZ40" i="9"/>
  <c r="DY40" i="9"/>
  <c r="DX40" i="9"/>
  <c r="DW40" i="9"/>
  <c r="DV40" i="9"/>
  <c r="DU40" i="9"/>
  <c r="DT40" i="9"/>
  <c r="DS40" i="9"/>
  <c r="DR40" i="9"/>
  <c r="DQ40" i="9"/>
  <c r="DP40" i="9"/>
  <c r="DO40" i="9"/>
  <c r="DN40" i="9"/>
  <c r="DM40" i="9"/>
  <c r="DL40" i="9"/>
  <c r="DK40" i="9"/>
  <c r="DJ40" i="9"/>
  <c r="DI40" i="9"/>
  <c r="DH40" i="9"/>
  <c r="DG40" i="9"/>
  <c r="DF40" i="9"/>
  <c r="DE40" i="9"/>
  <c r="DD40" i="9"/>
  <c r="DC40" i="9"/>
  <c r="DB40" i="9"/>
  <c r="DA40" i="9"/>
  <c r="CZ40" i="9"/>
  <c r="CY40" i="9"/>
  <c r="CX40" i="9"/>
  <c r="CW40" i="9"/>
  <c r="CV40" i="9"/>
  <c r="CU40" i="9"/>
  <c r="CT40" i="9"/>
  <c r="CS40" i="9"/>
  <c r="CR40" i="9"/>
  <c r="CQ40" i="9"/>
  <c r="CP40" i="9"/>
  <c r="CO40" i="9"/>
  <c r="CN40" i="9"/>
  <c r="CM40" i="9"/>
  <c r="CL40" i="9"/>
  <c r="CK40" i="9"/>
  <c r="CJ40" i="9"/>
  <c r="CI40" i="9"/>
  <c r="CH40" i="9"/>
  <c r="CG40" i="9"/>
  <c r="CF40" i="9"/>
  <c r="CE40" i="9"/>
  <c r="CD40" i="9"/>
  <c r="CC40" i="9"/>
  <c r="CB40" i="9"/>
  <c r="CA40" i="9"/>
  <c r="BZ40" i="9"/>
  <c r="BY40" i="9"/>
  <c r="BX40" i="9"/>
  <c r="BW40" i="9"/>
  <c r="BV40" i="9"/>
  <c r="BU40" i="9"/>
  <c r="BT40" i="9"/>
  <c r="BS40" i="9"/>
  <c r="BR40" i="9"/>
  <c r="BQ40" i="9"/>
  <c r="BP40" i="9"/>
  <c r="BO40" i="9"/>
  <c r="BN40" i="9"/>
  <c r="BM40" i="9"/>
  <c r="BL40" i="9"/>
  <c r="BK40" i="9"/>
  <c r="BJ40" i="9"/>
  <c r="BI40" i="9"/>
  <c r="BH40" i="9"/>
  <c r="BG40" i="9"/>
  <c r="BF40" i="9"/>
  <c r="BE40" i="9"/>
  <c r="BD40" i="9"/>
  <c r="BC40" i="9"/>
  <c r="BB40" i="9"/>
  <c r="BA40" i="9"/>
  <c r="AZ40" i="9"/>
  <c r="AY40" i="9"/>
  <c r="AX40" i="9"/>
  <c r="AW40" i="9"/>
  <c r="AV40" i="9"/>
  <c r="AU40" i="9"/>
  <c r="AT40" i="9"/>
  <c r="AS40" i="9"/>
  <c r="AR40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D3" i="9"/>
  <c r="E3" i="9" s="1"/>
  <c r="F3" i="9" s="1"/>
  <c r="G3" i="9" s="1"/>
  <c r="H3" i="9" s="1"/>
  <c r="I3" i="9" s="1"/>
  <c r="J3" i="9" s="1"/>
  <c r="K3" i="9" s="1"/>
  <c r="L3" i="9" s="1"/>
  <c r="M3" i="9" s="1"/>
  <c r="N3" i="9" s="1"/>
  <c r="O3" i="9" s="1"/>
  <c r="P3" i="9" s="1"/>
  <c r="Q3" i="9" s="1"/>
  <c r="R3" i="9" s="1"/>
  <c r="S3" i="9" s="1"/>
  <c r="T3" i="9" s="1"/>
  <c r="U3" i="9" s="1"/>
  <c r="V3" i="9" s="1"/>
  <c r="W3" i="9" s="1"/>
  <c r="X3" i="9" s="1"/>
  <c r="Y3" i="9" s="1"/>
  <c r="Z3" i="9" s="1"/>
  <c r="AA3" i="9" s="1"/>
  <c r="AB3" i="9" s="1"/>
  <c r="AC3" i="9" s="1"/>
  <c r="AD3" i="9" s="1"/>
  <c r="AE3" i="9" s="1"/>
  <c r="AF3" i="9" s="1"/>
  <c r="AG3" i="9" s="1"/>
  <c r="AH3" i="9" s="1"/>
  <c r="AI3" i="9" s="1"/>
  <c r="AJ3" i="9" s="1"/>
  <c r="AK3" i="9" s="1"/>
  <c r="AL3" i="9" s="1"/>
  <c r="AM3" i="9" s="1"/>
  <c r="AN3" i="9" s="1"/>
  <c r="AO3" i="9" s="1"/>
  <c r="AP3" i="9" s="1"/>
  <c r="AQ3" i="9" s="1"/>
  <c r="AR3" i="9" s="1"/>
  <c r="AS3" i="9" s="1"/>
  <c r="AT3" i="9" s="1"/>
  <c r="AU3" i="9" s="1"/>
  <c r="AV3" i="9" s="1"/>
  <c r="AW3" i="9" s="1"/>
  <c r="AX3" i="9" s="1"/>
  <c r="AY3" i="9" s="1"/>
  <c r="AZ3" i="9" s="1"/>
  <c r="BA3" i="9" s="1"/>
  <c r="BB3" i="9" s="1"/>
  <c r="BC3" i="9" s="1"/>
  <c r="BD3" i="9" s="1"/>
  <c r="BE3" i="9" s="1"/>
  <c r="BF3" i="9" s="1"/>
  <c r="BG3" i="9" s="1"/>
  <c r="BH3" i="9" s="1"/>
  <c r="BI3" i="9" s="1"/>
  <c r="BJ3" i="9" s="1"/>
  <c r="BK3" i="9" s="1"/>
  <c r="BL3" i="9" s="1"/>
  <c r="BM3" i="9" s="1"/>
  <c r="BN3" i="9" s="1"/>
  <c r="BO3" i="9" s="1"/>
  <c r="BP3" i="9" s="1"/>
  <c r="BQ3" i="9" s="1"/>
  <c r="BR3" i="9" s="1"/>
  <c r="BS3" i="9" s="1"/>
  <c r="BT3" i="9" s="1"/>
  <c r="BU3" i="9" s="1"/>
  <c r="BV3" i="9" s="1"/>
  <c r="BW3" i="9" s="1"/>
  <c r="BX3" i="9" s="1"/>
  <c r="BY3" i="9" s="1"/>
  <c r="BZ3" i="9" s="1"/>
  <c r="CA3" i="9" s="1"/>
  <c r="CB3" i="9" s="1"/>
  <c r="CC3" i="9" s="1"/>
  <c r="CD3" i="9" s="1"/>
  <c r="CE3" i="9" s="1"/>
  <c r="CF3" i="9" s="1"/>
  <c r="CG3" i="9" s="1"/>
  <c r="CH3" i="9" s="1"/>
  <c r="CI3" i="9" s="1"/>
  <c r="CJ3" i="9" s="1"/>
  <c r="CK3" i="9" s="1"/>
  <c r="CL3" i="9" s="1"/>
  <c r="CM3" i="9" s="1"/>
  <c r="CN3" i="9" s="1"/>
  <c r="CO3" i="9" s="1"/>
  <c r="CP3" i="9" s="1"/>
  <c r="CQ3" i="9" s="1"/>
  <c r="CR3" i="9" s="1"/>
  <c r="CS3" i="9" s="1"/>
  <c r="CT3" i="9" s="1"/>
  <c r="CU3" i="9" s="1"/>
  <c r="CV3" i="9" s="1"/>
  <c r="CW3" i="9" s="1"/>
  <c r="CX3" i="9" s="1"/>
  <c r="CY3" i="9" s="1"/>
  <c r="CZ3" i="9" s="1"/>
  <c r="DA3" i="9" s="1"/>
  <c r="DB3" i="9" s="1"/>
  <c r="DC3" i="9" s="1"/>
  <c r="DD3" i="9" s="1"/>
  <c r="DE3" i="9" s="1"/>
  <c r="DF3" i="9" s="1"/>
  <c r="DG3" i="9" s="1"/>
  <c r="DH3" i="9" s="1"/>
  <c r="DI3" i="9" s="1"/>
  <c r="DJ3" i="9" s="1"/>
  <c r="DK3" i="9" s="1"/>
  <c r="DL3" i="9" s="1"/>
  <c r="DM3" i="9" s="1"/>
  <c r="DN3" i="9" s="1"/>
  <c r="DO3" i="9" s="1"/>
  <c r="DP3" i="9" s="1"/>
  <c r="DQ3" i="9" s="1"/>
  <c r="DR3" i="9" s="1"/>
  <c r="DS3" i="9" s="1"/>
  <c r="DT3" i="9" s="1"/>
  <c r="DU3" i="9" s="1"/>
  <c r="DV3" i="9" s="1"/>
  <c r="DW3" i="9" s="1"/>
  <c r="DX3" i="9" s="1"/>
  <c r="DY3" i="9" s="1"/>
  <c r="DZ3" i="9" s="1"/>
  <c r="EA3" i="9" s="1"/>
  <c r="EB3" i="9" s="1"/>
  <c r="EC3" i="9" s="1"/>
  <c r="ED3" i="9" s="1"/>
  <c r="EE3" i="9" s="1"/>
  <c r="EF3" i="9" s="1"/>
  <c r="EG3" i="9" s="1"/>
  <c r="EH3" i="9" s="1"/>
  <c r="EI3" i="9" s="1"/>
  <c r="EJ3" i="9" s="1"/>
  <c r="EK3" i="9" s="1"/>
  <c r="EL3" i="9" s="1"/>
  <c r="EM3" i="9" s="1"/>
  <c r="EN3" i="9" s="1"/>
  <c r="EO3" i="9" s="1"/>
  <c r="EP3" i="9" s="1"/>
  <c r="EQ3" i="9" s="1"/>
  <c r="ER3" i="9" s="1"/>
  <c r="ES3" i="9" s="1"/>
  <c r="ET3" i="9" s="1"/>
  <c r="EU3" i="9" s="1"/>
  <c r="EV3" i="9" s="1"/>
  <c r="EW3" i="9" s="1"/>
  <c r="EX3" i="9" s="1"/>
  <c r="EY3" i="9" s="1"/>
  <c r="EZ3" i="9" s="1"/>
  <c r="FA3" i="9" s="1"/>
  <c r="FB3" i="9" s="1"/>
  <c r="FC3" i="9" s="1"/>
  <c r="FD3" i="9" s="1"/>
  <c r="FE3" i="9" s="1"/>
  <c r="FF3" i="9" s="1"/>
  <c r="FG3" i="9" s="1"/>
  <c r="FH3" i="9" s="1"/>
  <c r="FI3" i="9" s="1"/>
  <c r="FJ3" i="9" s="1"/>
  <c r="FK3" i="9" s="1"/>
  <c r="FL3" i="9" s="1"/>
  <c r="FM3" i="9" s="1"/>
  <c r="FN3" i="9" s="1"/>
  <c r="FO3" i="9" s="1"/>
  <c r="FP3" i="9" s="1"/>
  <c r="FQ3" i="9" s="1"/>
  <c r="FR3" i="9" s="1"/>
  <c r="FS3" i="9" s="1"/>
  <c r="FT3" i="9" s="1"/>
  <c r="FU3" i="9" s="1"/>
  <c r="FV3" i="9" s="1"/>
  <c r="FW3" i="9" s="1"/>
  <c r="FX3" i="9" s="1"/>
  <c r="FY3" i="9" s="1"/>
  <c r="FZ3" i="9" s="1"/>
  <c r="GA3" i="9" s="1"/>
  <c r="GB3" i="9" s="1"/>
  <c r="GC3" i="9" s="1"/>
  <c r="GD3" i="9" s="1"/>
  <c r="GE3" i="9" s="1"/>
  <c r="GF3" i="9" s="1"/>
  <c r="GG3" i="9" s="1"/>
  <c r="GH3" i="9" s="1"/>
  <c r="GI3" i="9" s="1"/>
  <c r="GJ3" i="9" s="1"/>
  <c r="GK3" i="9" s="1"/>
  <c r="GL3" i="9" s="1"/>
  <c r="GM3" i="9" s="1"/>
  <c r="GN3" i="9" s="1"/>
  <c r="GO3" i="9" s="1"/>
  <c r="GP3" i="9" s="1"/>
  <c r="GQ3" i="9" s="1"/>
  <c r="GR3" i="9" s="1"/>
  <c r="GS3" i="9" s="1"/>
  <c r="GT3" i="9" s="1"/>
  <c r="GU3" i="9" s="1"/>
  <c r="GV3" i="9" s="1"/>
  <c r="GW3" i="9" s="1"/>
  <c r="GX3" i="9" s="1"/>
  <c r="GY3" i="9" s="1"/>
  <c r="GZ3" i="9" s="1"/>
  <c r="HA3" i="9" s="1"/>
  <c r="HB3" i="9" s="1"/>
  <c r="HC3" i="9" s="1"/>
  <c r="HD3" i="9" s="1"/>
  <c r="HE3" i="9" s="1"/>
  <c r="HF3" i="9" s="1"/>
  <c r="HG3" i="9" s="1"/>
  <c r="HH3" i="9" s="1"/>
  <c r="HI3" i="9" s="1"/>
  <c r="HJ3" i="9" s="1"/>
  <c r="HK3" i="9" s="1"/>
  <c r="HL3" i="9" s="1"/>
  <c r="HM3" i="9" s="1"/>
  <c r="HN3" i="9" s="1"/>
  <c r="HO3" i="9" s="1"/>
  <c r="HP3" i="9" s="1"/>
  <c r="HQ3" i="9" s="1"/>
  <c r="HR3" i="9" s="1"/>
  <c r="HS3" i="9" s="1"/>
  <c r="HT3" i="9" s="1"/>
  <c r="HU3" i="9" s="1"/>
  <c r="HV3" i="9" s="1"/>
  <c r="HW3" i="9" s="1"/>
  <c r="HX3" i="9" s="1"/>
  <c r="HY3" i="9" s="1"/>
  <c r="HZ3" i="9" s="1"/>
  <c r="IA3" i="9" s="1"/>
  <c r="IB3" i="9" s="1"/>
  <c r="IC3" i="9" s="1"/>
  <c r="ID3" i="9" s="1"/>
  <c r="IE3" i="9" s="1"/>
  <c r="IF3" i="9" s="1"/>
  <c r="IG3" i="9" s="1"/>
  <c r="IH3" i="9" s="1"/>
  <c r="II3" i="9" s="1"/>
  <c r="IJ3" i="9" s="1"/>
  <c r="IK3" i="9" s="1"/>
  <c r="IL3" i="9" s="1"/>
  <c r="IM3" i="9" s="1"/>
  <c r="IN3" i="9" s="1"/>
  <c r="IO3" i="9" s="1"/>
  <c r="IP3" i="9" s="1"/>
  <c r="IQ3" i="9" s="1"/>
  <c r="IR3" i="9" s="1"/>
  <c r="IS3" i="9" s="1"/>
  <c r="IT3" i="9" s="1"/>
  <c r="IU3" i="9" s="1"/>
  <c r="IV3" i="9" s="1"/>
  <c r="IW3" i="9" s="1"/>
  <c r="IX3" i="9" s="1"/>
  <c r="IY3" i="9" s="1"/>
  <c r="IZ3" i="9" s="1"/>
  <c r="JA3" i="9" s="1"/>
  <c r="JB3" i="9" s="1"/>
  <c r="JC3" i="9" s="1"/>
  <c r="JD3" i="9" s="1"/>
  <c r="JE3" i="9" s="1"/>
  <c r="JF3" i="9" s="1"/>
  <c r="JG3" i="9" s="1"/>
  <c r="JH3" i="9" s="1"/>
  <c r="JI3" i="9" s="1"/>
  <c r="JJ3" i="9" s="1"/>
  <c r="JK3" i="9" s="1"/>
  <c r="JL3" i="9" s="1"/>
  <c r="JM3" i="9" s="1"/>
  <c r="JN3" i="9" s="1"/>
  <c r="JO3" i="9" s="1"/>
  <c r="JP3" i="9" s="1"/>
  <c r="JQ3" i="9" s="1"/>
  <c r="JR3" i="9" s="1"/>
  <c r="JS3" i="9" s="1"/>
  <c r="JT3" i="9" s="1"/>
  <c r="JU3" i="9" s="1"/>
  <c r="JV3" i="9" s="1"/>
  <c r="JW3" i="9" s="1"/>
  <c r="S3" i="4"/>
  <c r="R4" i="4" s="1"/>
  <c r="S4" i="4" s="1"/>
  <c r="R5" i="4" s="1"/>
  <c r="S5" i="4" s="1"/>
  <c r="R6" i="4" s="1"/>
  <c r="S6" i="4" s="1"/>
  <c r="R7" i="4" s="1"/>
  <c r="S7" i="4" s="1"/>
  <c r="R8" i="4" s="1"/>
  <c r="S8" i="4" s="1"/>
  <c r="R9" i="4" s="1"/>
  <c r="S9" i="4" s="1"/>
  <c r="R10" i="4" s="1"/>
  <c r="S10" i="4" s="1"/>
  <c r="R11" i="4" s="1"/>
  <c r="S11" i="4" s="1"/>
  <c r="R12" i="4" s="1"/>
  <c r="S12" i="4" s="1"/>
  <c r="R13" i="4" s="1"/>
  <c r="S13" i="4" s="1"/>
  <c r="R14" i="4" s="1"/>
  <c r="S14" i="4" s="1"/>
  <c r="R15" i="4" s="1"/>
  <c r="S15" i="4" s="1"/>
  <c r="R16" i="4" s="1"/>
  <c r="S16" i="4" s="1"/>
  <c r="R17" i="4" s="1"/>
  <c r="S17" i="4" s="1"/>
  <c r="R18" i="4" s="1"/>
  <c r="S18" i="4" s="1"/>
  <c r="R19" i="4" s="1"/>
  <c r="S19" i="4" s="1"/>
  <c r="R20" i="4" s="1"/>
  <c r="S20" i="4" s="1"/>
  <c r="R21" i="4" s="1"/>
  <c r="S21" i="4" s="1"/>
  <c r="R22" i="4" s="1"/>
  <c r="S22" i="4" s="1"/>
  <c r="R23" i="4" s="1"/>
  <c r="S23" i="4" s="1"/>
  <c r="R24" i="4" s="1"/>
  <c r="S24" i="4" s="1"/>
  <c r="R25" i="4" s="1"/>
  <c r="S25" i="4" s="1"/>
  <c r="R26" i="4" s="1"/>
  <c r="S26" i="4" s="1"/>
  <c r="R27" i="4" s="1"/>
  <c r="S27" i="4" s="1"/>
  <c r="R28" i="4" s="1"/>
  <c r="S28" i="4" s="1"/>
  <c r="R29" i="4" s="1"/>
  <c r="S29" i="4" s="1"/>
  <c r="R30" i="4" s="1"/>
  <c r="S30" i="4" s="1"/>
  <c r="R31" i="4" s="1"/>
  <c r="S31" i="4" s="1"/>
  <c r="R32" i="4" s="1"/>
  <c r="S32" i="4" s="1"/>
  <c r="R33" i="4" s="1"/>
  <c r="K16" i="3"/>
  <c r="K22" i="3"/>
  <c r="K21" i="3"/>
  <c r="L21" i="3" s="1"/>
  <c r="K20" i="3"/>
  <c r="L20" i="3" s="1"/>
  <c r="K19" i="3"/>
  <c r="K18" i="3"/>
  <c r="K17" i="3"/>
  <c r="K15" i="3"/>
  <c r="K14" i="3"/>
  <c r="K13" i="3"/>
  <c r="K12" i="3"/>
  <c r="K11" i="3"/>
  <c r="K10" i="3"/>
  <c r="K9" i="3"/>
  <c r="K8" i="3"/>
  <c r="K6" i="3"/>
  <c r="NI40" i="1"/>
  <c r="NH40" i="1"/>
  <c r="NI39" i="1"/>
  <c r="NH39" i="1"/>
  <c r="NI38" i="1"/>
  <c r="NH38" i="1"/>
  <c r="NI37" i="1"/>
  <c r="NH37" i="1"/>
  <c r="NI36" i="1"/>
  <c r="NH36" i="1"/>
  <c r="NG36" i="1"/>
  <c r="NG37" i="1"/>
  <c r="NG38" i="1"/>
  <c r="NG39" i="1"/>
  <c r="NG40" i="1"/>
  <c r="S33" i="4" l="1"/>
  <c r="C31" i="12"/>
  <c r="B9" i="7"/>
  <c r="B6" i="7"/>
  <c r="B15" i="7"/>
  <c r="F5" i="7" s="1"/>
  <c r="G5" i="7" s="1"/>
  <c r="B16" i="7"/>
  <c r="F6" i="7" s="1"/>
  <c r="G6" i="7" s="1"/>
  <c r="B17" i="7"/>
  <c r="F7" i="7" s="1"/>
  <c r="G7" i="7" s="1"/>
  <c r="B18" i="7"/>
  <c r="F8" i="7" s="1"/>
  <c r="G8" i="7" s="1"/>
  <c r="B19" i="7"/>
  <c r="B20" i="7"/>
  <c r="B21" i="7"/>
  <c r="F9" i="7" s="1"/>
  <c r="G9" i="7" s="1"/>
  <c r="B22" i="7"/>
  <c r="F10" i="7" s="1"/>
  <c r="G10" i="7" s="1"/>
  <c r="B23" i="7"/>
  <c r="F11" i="7" s="1"/>
  <c r="G11" i="7" s="1"/>
  <c r="B24" i="7"/>
  <c r="F12" i="7" s="1"/>
  <c r="G12" i="7" s="1"/>
  <c r="B25" i="7"/>
  <c r="B26" i="7"/>
  <c r="B27" i="7"/>
  <c r="F13" i="7" s="1"/>
  <c r="G13" i="7" s="1"/>
  <c r="B28" i="7"/>
  <c r="F14" i="7" s="1"/>
  <c r="G14" i="7" s="1"/>
  <c r="B29" i="7"/>
  <c r="B30" i="7"/>
  <c r="B31" i="7"/>
  <c r="B32" i="7"/>
  <c r="B33" i="7"/>
  <c r="B34" i="7"/>
  <c r="B35" i="7"/>
  <c r="F15" i="7" s="1"/>
  <c r="B36" i="7"/>
  <c r="F16" i="7" s="1"/>
  <c r="G16" i="7" s="1"/>
  <c r="B37" i="7"/>
  <c r="F17" i="7" s="1"/>
  <c r="G17" i="7" s="1"/>
  <c r="B14" i="7"/>
  <c r="B13" i="7"/>
  <c r="R34" i="4" l="1"/>
  <c r="S34" i="4" s="1"/>
  <c r="R35" i="4" s="1"/>
  <c r="S35" i="4" s="1"/>
  <c r="R36" i="4" s="1"/>
  <c r="S36" i="4" s="1"/>
  <c r="R37" i="4" s="1"/>
  <c r="S37" i="4" s="1"/>
  <c r="R38" i="4" s="1"/>
  <c r="S38" i="4" s="1"/>
  <c r="R39" i="4" s="1"/>
  <c r="S39" i="4" s="1"/>
  <c r="R40" i="4" s="1"/>
  <c r="S40" i="4" s="1"/>
  <c r="R41" i="4" s="1"/>
  <c r="S41" i="4" s="1"/>
  <c r="R42" i="4" s="1"/>
  <c r="S42" i="4" s="1"/>
  <c r="R43" i="4" s="1"/>
  <c r="S43" i="4" s="1"/>
  <c r="R44" i="4" s="1"/>
  <c r="S44" i="4" s="1"/>
  <c r="R45" i="4" s="1"/>
  <c r="S45" i="4" s="1"/>
  <c r="R46" i="4" s="1"/>
  <c r="S46" i="4" s="1"/>
  <c r="R47" i="4" s="1"/>
  <c r="S47" i="4" s="1"/>
  <c r="R48" i="4" s="1"/>
  <c r="S48" i="4" s="1"/>
  <c r="R49" i="4" s="1"/>
  <c r="S49" i="4" s="1"/>
  <c r="R50" i="4" s="1"/>
  <c r="F4" i="7"/>
  <c r="B8" i="7"/>
  <c r="B7" i="7" s="1"/>
  <c r="S50" i="4" l="1"/>
  <c r="B10" i="7"/>
  <c r="F3" i="7"/>
  <c r="GA3" i="1"/>
  <c r="GB3" i="1" s="1"/>
  <c r="GC3" i="1" s="1"/>
  <c r="FA36" i="1"/>
  <c r="R51" i="4" l="1"/>
  <c r="S51" i="4" s="1"/>
  <c r="R52" i="4" s="1"/>
  <c r="H15" i="7"/>
  <c r="I15" i="7" s="1"/>
  <c r="J15" i="7" s="1"/>
  <c r="H12" i="7"/>
  <c r="I12" i="7" s="1"/>
  <c r="J12" i="7" s="1"/>
  <c r="H10" i="7"/>
  <c r="I10" i="7" s="1"/>
  <c r="J10" i="7" s="1"/>
  <c r="H6" i="7"/>
  <c r="I6" i="7" s="1"/>
  <c r="J6" i="7" s="1"/>
  <c r="H13" i="7"/>
  <c r="I13" i="7" s="1"/>
  <c r="J13" i="7" s="1"/>
  <c r="H8" i="7"/>
  <c r="I8" i="7" s="1"/>
  <c r="J8" i="7" s="1"/>
  <c r="H17" i="7"/>
  <c r="I17" i="7" s="1"/>
  <c r="J17" i="7" s="1"/>
  <c r="H11" i="7"/>
  <c r="I11" i="7" s="1"/>
  <c r="J11" i="7" s="1"/>
  <c r="H16" i="7"/>
  <c r="I16" i="7" s="1"/>
  <c r="J16" i="7" s="1"/>
  <c r="H9" i="7"/>
  <c r="I9" i="7" s="1"/>
  <c r="J9" i="7" s="1"/>
  <c r="H5" i="7"/>
  <c r="I5" i="7" s="1"/>
  <c r="J5" i="7" s="1"/>
  <c r="H14" i="7"/>
  <c r="I14" i="7" s="1"/>
  <c r="J14" i="7" s="1"/>
  <c r="H7" i="7"/>
  <c r="I7" i="7" s="1"/>
  <c r="J7" i="7" s="1"/>
  <c r="S52" i="4" l="1"/>
  <c r="H18" i="7"/>
  <c r="K11" i="7" s="1"/>
  <c r="L11" i="7" s="1"/>
  <c r="M11" i="7" s="1"/>
  <c r="N11" i="7" s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EW36" i="1"/>
  <c r="EX36" i="1"/>
  <c r="EY36" i="1"/>
  <c r="EZ36" i="1"/>
  <c r="FB36" i="1"/>
  <c r="FC36" i="1"/>
  <c r="FD36" i="1"/>
  <c r="FE36" i="1"/>
  <c r="FF36" i="1"/>
  <c r="FG36" i="1"/>
  <c r="FH36" i="1"/>
  <c r="FI36" i="1"/>
  <c r="FJ36" i="1"/>
  <c r="FK36" i="1"/>
  <c r="FL36" i="1"/>
  <c r="FM36" i="1"/>
  <c r="FN36" i="1"/>
  <c r="FO36" i="1"/>
  <c r="FP36" i="1"/>
  <c r="FQ36" i="1"/>
  <c r="FR36" i="1"/>
  <c r="FS36" i="1"/>
  <c r="FT36" i="1"/>
  <c r="FU36" i="1"/>
  <c r="FV36" i="1"/>
  <c r="FW36" i="1"/>
  <c r="FX36" i="1"/>
  <c r="FY36" i="1"/>
  <c r="FZ36" i="1"/>
  <c r="GA36" i="1"/>
  <c r="GB36" i="1"/>
  <c r="GC36" i="1"/>
  <c r="GD36" i="1"/>
  <c r="GE36" i="1"/>
  <c r="GF36" i="1"/>
  <c r="GG36" i="1"/>
  <c r="GH36" i="1"/>
  <c r="GI36" i="1"/>
  <c r="GJ36" i="1"/>
  <c r="GK36" i="1"/>
  <c r="GL36" i="1"/>
  <c r="GM36" i="1"/>
  <c r="GN36" i="1"/>
  <c r="GO36" i="1"/>
  <c r="GP36" i="1"/>
  <c r="GQ36" i="1"/>
  <c r="GR36" i="1"/>
  <c r="GS36" i="1"/>
  <c r="GT36" i="1"/>
  <c r="GU36" i="1"/>
  <c r="GV36" i="1"/>
  <c r="GW36" i="1"/>
  <c r="GX36" i="1"/>
  <c r="GY36" i="1"/>
  <c r="GZ36" i="1"/>
  <c r="HA36" i="1"/>
  <c r="HB36" i="1"/>
  <c r="HC36" i="1"/>
  <c r="HD36" i="1"/>
  <c r="HE36" i="1"/>
  <c r="HF36" i="1"/>
  <c r="HG36" i="1"/>
  <c r="HH36" i="1"/>
  <c r="HI36" i="1"/>
  <c r="HJ36" i="1"/>
  <c r="HK36" i="1"/>
  <c r="HL36" i="1"/>
  <c r="HM36" i="1"/>
  <c r="HN36" i="1"/>
  <c r="HO36" i="1"/>
  <c r="HP36" i="1"/>
  <c r="HQ36" i="1"/>
  <c r="HR36" i="1"/>
  <c r="HS36" i="1"/>
  <c r="HT36" i="1"/>
  <c r="HU36" i="1"/>
  <c r="HV36" i="1"/>
  <c r="HW36" i="1"/>
  <c r="HX36" i="1"/>
  <c r="HY36" i="1"/>
  <c r="HZ36" i="1"/>
  <c r="IA36" i="1"/>
  <c r="IB36" i="1"/>
  <c r="IC36" i="1"/>
  <c r="ID36" i="1"/>
  <c r="IE36" i="1"/>
  <c r="IF36" i="1"/>
  <c r="IG36" i="1"/>
  <c r="IH36" i="1"/>
  <c r="II36" i="1"/>
  <c r="IJ36" i="1"/>
  <c r="IK36" i="1"/>
  <c r="IL36" i="1"/>
  <c r="IM36" i="1"/>
  <c r="IN36" i="1"/>
  <c r="IO36" i="1"/>
  <c r="IP36" i="1"/>
  <c r="IQ36" i="1"/>
  <c r="IR36" i="1"/>
  <c r="IS36" i="1"/>
  <c r="IT36" i="1"/>
  <c r="IU36" i="1"/>
  <c r="IV36" i="1"/>
  <c r="IW36" i="1"/>
  <c r="IX36" i="1"/>
  <c r="IY36" i="1"/>
  <c r="IZ36" i="1"/>
  <c r="JA36" i="1"/>
  <c r="JB36" i="1"/>
  <c r="JC36" i="1"/>
  <c r="JD36" i="1"/>
  <c r="JE36" i="1"/>
  <c r="JF36" i="1"/>
  <c r="JG36" i="1"/>
  <c r="JH36" i="1"/>
  <c r="JI36" i="1"/>
  <c r="JJ36" i="1"/>
  <c r="JK36" i="1"/>
  <c r="JL36" i="1"/>
  <c r="JM36" i="1"/>
  <c r="JN36" i="1"/>
  <c r="JO36" i="1"/>
  <c r="JP36" i="1"/>
  <c r="JQ36" i="1"/>
  <c r="JR36" i="1"/>
  <c r="JS36" i="1"/>
  <c r="JT36" i="1"/>
  <c r="JU36" i="1"/>
  <c r="JV36" i="1"/>
  <c r="JW36" i="1"/>
  <c r="JX36" i="1"/>
  <c r="JY36" i="1"/>
  <c r="JZ36" i="1"/>
  <c r="KA36" i="1"/>
  <c r="KB36" i="1"/>
  <c r="KC36" i="1"/>
  <c r="KD36" i="1"/>
  <c r="KE36" i="1"/>
  <c r="KF36" i="1"/>
  <c r="KG36" i="1"/>
  <c r="KH36" i="1"/>
  <c r="KI36" i="1"/>
  <c r="KJ36" i="1"/>
  <c r="KK36" i="1"/>
  <c r="KL36" i="1"/>
  <c r="KM36" i="1"/>
  <c r="KN36" i="1"/>
  <c r="KO36" i="1"/>
  <c r="KP36" i="1"/>
  <c r="KQ36" i="1"/>
  <c r="KR36" i="1"/>
  <c r="KS36" i="1"/>
  <c r="KT36" i="1"/>
  <c r="KU36" i="1"/>
  <c r="KV36" i="1"/>
  <c r="KW36" i="1"/>
  <c r="KX36" i="1"/>
  <c r="KY36" i="1"/>
  <c r="KZ36" i="1"/>
  <c r="LA36" i="1"/>
  <c r="LB36" i="1"/>
  <c r="LC36" i="1"/>
  <c r="LD36" i="1"/>
  <c r="LE36" i="1"/>
  <c r="LF36" i="1"/>
  <c r="LG36" i="1"/>
  <c r="LH36" i="1"/>
  <c r="LI36" i="1"/>
  <c r="LJ36" i="1"/>
  <c r="LK36" i="1"/>
  <c r="LL36" i="1"/>
  <c r="LM36" i="1"/>
  <c r="LN36" i="1"/>
  <c r="LO36" i="1"/>
  <c r="LP36" i="1"/>
  <c r="LQ36" i="1"/>
  <c r="LR36" i="1"/>
  <c r="LS36" i="1"/>
  <c r="LT36" i="1"/>
  <c r="LU36" i="1"/>
  <c r="LV36" i="1"/>
  <c r="LW36" i="1"/>
  <c r="LX36" i="1"/>
  <c r="LY36" i="1"/>
  <c r="LZ36" i="1"/>
  <c r="MA36" i="1"/>
  <c r="MB36" i="1"/>
  <c r="MC36" i="1"/>
  <c r="MD36" i="1"/>
  <c r="ME36" i="1"/>
  <c r="MF36" i="1"/>
  <c r="MG36" i="1"/>
  <c r="MH36" i="1"/>
  <c r="MI36" i="1"/>
  <c r="MJ36" i="1"/>
  <c r="MK36" i="1"/>
  <c r="ML36" i="1"/>
  <c r="MM36" i="1"/>
  <c r="MN36" i="1"/>
  <c r="MO36" i="1"/>
  <c r="MP36" i="1"/>
  <c r="MQ36" i="1"/>
  <c r="MR36" i="1"/>
  <c r="MS36" i="1"/>
  <c r="MT36" i="1"/>
  <c r="MU36" i="1"/>
  <c r="MV36" i="1"/>
  <c r="MW36" i="1"/>
  <c r="MX36" i="1"/>
  <c r="MY36" i="1"/>
  <c r="MZ36" i="1"/>
  <c r="NA36" i="1"/>
  <c r="NB36" i="1"/>
  <c r="NC36" i="1"/>
  <c r="ND36" i="1"/>
  <c r="NE36" i="1"/>
  <c r="NF36" i="1"/>
  <c r="D36" i="1"/>
  <c r="C36" i="1"/>
  <c r="B36" i="1"/>
  <c r="C3" i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EW37" i="1"/>
  <c r="EX37" i="1"/>
  <c r="EY37" i="1"/>
  <c r="EZ37" i="1"/>
  <c r="FA37" i="1"/>
  <c r="FB37" i="1"/>
  <c r="FC37" i="1"/>
  <c r="FD37" i="1"/>
  <c r="FE37" i="1"/>
  <c r="FF37" i="1"/>
  <c r="FG37" i="1"/>
  <c r="FH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FV37" i="1"/>
  <c r="FW37" i="1"/>
  <c r="FX37" i="1"/>
  <c r="FY37" i="1"/>
  <c r="FZ37" i="1"/>
  <c r="GA37" i="1"/>
  <c r="GB37" i="1"/>
  <c r="GC37" i="1"/>
  <c r="GD37" i="1"/>
  <c r="GE37" i="1"/>
  <c r="GF37" i="1"/>
  <c r="GG37" i="1"/>
  <c r="GH37" i="1"/>
  <c r="GI37" i="1"/>
  <c r="GJ37" i="1"/>
  <c r="GK37" i="1"/>
  <c r="GL37" i="1"/>
  <c r="GM37" i="1"/>
  <c r="GN37" i="1"/>
  <c r="GO37" i="1"/>
  <c r="GP37" i="1"/>
  <c r="GQ37" i="1"/>
  <c r="GR37" i="1"/>
  <c r="GS37" i="1"/>
  <c r="GT37" i="1"/>
  <c r="GU37" i="1"/>
  <c r="GV37" i="1"/>
  <c r="GW37" i="1"/>
  <c r="GX37" i="1"/>
  <c r="GY37" i="1"/>
  <c r="GZ37" i="1"/>
  <c r="HA37" i="1"/>
  <c r="HB37" i="1"/>
  <c r="HC37" i="1"/>
  <c r="HD37" i="1"/>
  <c r="HE37" i="1"/>
  <c r="HF37" i="1"/>
  <c r="HG37" i="1"/>
  <c r="HH37" i="1"/>
  <c r="HI37" i="1"/>
  <c r="HJ37" i="1"/>
  <c r="HK37" i="1"/>
  <c r="HL37" i="1"/>
  <c r="HM37" i="1"/>
  <c r="HN37" i="1"/>
  <c r="HO37" i="1"/>
  <c r="HP37" i="1"/>
  <c r="HQ37" i="1"/>
  <c r="HR37" i="1"/>
  <c r="HS37" i="1"/>
  <c r="HT37" i="1"/>
  <c r="HU37" i="1"/>
  <c r="HV37" i="1"/>
  <c r="HW37" i="1"/>
  <c r="HX37" i="1"/>
  <c r="HY37" i="1"/>
  <c r="HZ37" i="1"/>
  <c r="IA37" i="1"/>
  <c r="IB37" i="1"/>
  <c r="IC37" i="1"/>
  <c r="ID37" i="1"/>
  <c r="IE37" i="1"/>
  <c r="IF37" i="1"/>
  <c r="IG37" i="1"/>
  <c r="IH37" i="1"/>
  <c r="II37" i="1"/>
  <c r="IJ37" i="1"/>
  <c r="IK37" i="1"/>
  <c r="IL37" i="1"/>
  <c r="IM37" i="1"/>
  <c r="IN37" i="1"/>
  <c r="IO37" i="1"/>
  <c r="IP37" i="1"/>
  <c r="IQ37" i="1"/>
  <c r="IR37" i="1"/>
  <c r="IS37" i="1"/>
  <c r="IT37" i="1"/>
  <c r="IU37" i="1"/>
  <c r="IV37" i="1"/>
  <c r="IW37" i="1"/>
  <c r="IX37" i="1"/>
  <c r="IY37" i="1"/>
  <c r="IZ37" i="1"/>
  <c r="JA37" i="1"/>
  <c r="JB37" i="1"/>
  <c r="JC37" i="1"/>
  <c r="JD37" i="1"/>
  <c r="JE37" i="1"/>
  <c r="JF37" i="1"/>
  <c r="JG37" i="1"/>
  <c r="JH37" i="1"/>
  <c r="JI37" i="1"/>
  <c r="JJ37" i="1"/>
  <c r="JK37" i="1"/>
  <c r="JL37" i="1"/>
  <c r="JM37" i="1"/>
  <c r="JN37" i="1"/>
  <c r="JO37" i="1"/>
  <c r="JP37" i="1"/>
  <c r="JQ37" i="1"/>
  <c r="JR37" i="1"/>
  <c r="JS37" i="1"/>
  <c r="JT37" i="1"/>
  <c r="JU37" i="1"/>
  <c r="JV37" i="1"/>
  <c r="JW37" i="1"/>
  <c r="JX37" i="1"/>
  <c r="JY37" i="1"/>
  <c r="JZ37" i="1"/>
  <c r="KA37" i="1"/>
  <c r="KB37" i="1"/>
  <c r="KC37" i="1"/>
  <c r="KD37" i="1"/>
  <c r="KE37" i="1"/>
  <c r="KF37" i="1"/>
  <c r="KG37" i="1"/>
  <c r="KH37" i="1"/>
  <c r="KI37" i="1"/>
  <c r="KJ37" i="1"/>
  <c r="KK37" i="1"/>
  <c r="KL37" i="1"/>
  <c r="KM37" i="1"/>
  <c r="KN37" i="1"/>
  <c r="KO37" i="1"/>
  <c r="KP37" i="1"/>
  <c r="KQ37" i="1"/>
  <c r="KR37" i="1"/>
  <c r="KS37" i="1"/>
  <c r="KT37" i="1"/>
  <c r="KU37" i="1"/>
  <c r="KV37" i="1"/>
  <c r="KW37" i="1"/>
  <c r="KX37" i="1"/>
  <c r="KY37" i="1"/>
  <c r="KZ37" i="1"/>
  <c r="LA37" i="1"/>
  <c r="LB37" i="1"/>
  <c r="LC37" i="1"/>
  <c r="LD37" i="1"/>
  <c r="LE37" i="1"/>
  <c r="LF37" i="1"/>
  <c r="LG37" i="1"/>
  <c r="LH37" i="1"/>
  <c r="LI37" i="1"/>
  <c r="LJ37" i="1"/>
  <c r="LK37" i="1"/>
  <c r="LL37" i="1"/>
  <c r="LM37" i="1"/>
  <c r="LN37" i="1"/>
  <c r="LO37" i="1"/>
  <c r="LP37" i="1"/>
  <c r="LQ37" i="1"/>
  <c r="LR37" i="1"/>
  <c r="LS37" i="1"/>
  <c r="LT37" i="1"/>
  <c r="LU37" i="1"/>
  <c r="LV37" i="1"/>
  <c r="LW37" i="1"/>
  <c r="LX37" i="1"/>
  <c r="LY37" i="1"/>
  <c r="LZ37" i="1"/>
  <c r="MA37" i="1"/>
  <c r="MB37" i="1"/>
  <c r="MC37" i="1"/>
  <c r="MD37" i="1"/>
  <c r="ME37" i="1"/>
  <c r="MF37" i="1"/>
  <c r="MG37" i="1"/>
  <c r="MH37" i="1"/>
  <c r="MI37" i="1"/>
  <c r="MJ37" i="1"/>
  <c r="MK37" i="1"/>
  <c r="ML37" i="1"/>
  <c r="MM37" i="1"/>
  <c r="MN37" i="1"/>
  <c r="MO37" i="1"/>
  <c r="MP37" i="1"/>
  <c r="MQ37" i="1"/>
  <c r="MR37" i="1"/>
  <c r="MS37" i="1"/>
  <c r="MT37" i="1"/>
  <c r="MU37" i="1"/>
  <c r="MV37" i="1"/>
  <c r="MW37" i="1"/>
  <c r="MX37" i="1"/>
  <c r="MY37" i="1"/>
  <c r="MZ37" i="1"/>
  <c r="NA37" i="1"/>
  <c r="NB37" i="1"/>
  <c r="NC37" i="1"/>
  <c r="ND37" i="1"/>
  <c r="NE37" i="1"/>
  <c r="NF37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EW38" i="1"/>
  <c r="EX38" i="1"/>
  <c r="EY38" i="1"/>
  <c r="EZ38" i="1"/>
  <c r="FA38" i="1"/>
  <c r="FB38" i="1"/>
  <c r="FC38" i="1"/>
  <c r="FD38" i="1"/>
  <c r="FE38" i="1"/>
  <c r="FF38" i="1"/>
  <c r="FG38" i="1"/>
  <c r="FH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FV38" i="1"/>
  <c r="FW38" i="1"/>
  <c r="FX38" i="1"/>
  <c r="FY38" i="1"/>
  <c r="FZ38" i="1"/>
  <c r="GA38" i="1"/>
  <c r="GB38" i="1"/>
  <c r="GC38" i="1"/>
  <c r="GD38" i="1"/>
  <c r="GE38" i="1"/>
  <c r="GF38" i="1"/>
  <c r="GG38" i="1"/>
  <c r="GH38" i="1"/>
  <c r="GI38" i="1"/>
  <c r="GJ38" i="1"/>
  <c r="GK38" i="1"/>
  <c r="GL38" i="1"/>
  <c r="GM38" i="1"/>
  <c r="GN38" i="1"/>
  <c r="GO38" i="1"/>
  <c r="GP38" i="1"/>
  <c r="GQ38" i="1"/>
  <c r="GR38" i="1"/>
  <c r="GS38" i="1"/>
  <c r="GT38" i="1"/>
  <c r="GU38" i="1"/>
  <c r="GV38" i="1"/>
  <c r="GW38" i="1"/>
  <c r="GX38" i="1"/>
  <c r="GY38" i="1"/>
  <c r="GZ38" i="1"/>
  <c r="HA38" i="1"/>
  <c r="HB38" i="1"/>
  <c r="HC38" i="1"/>
  <c r="HD38" i="1"/>
  <c r="HE38" i="1"/>
  <c r="HF38" i="1"/>
  <c r="HG38" i="1"/>
  <c r="HH38" i="1"/>
  <c r="HI38" i="1"/>
  <c r="HJ38" i="1"/>
  <c r="HK38" i="1"/>
  <c r="HL38" i="1"/>
  <c r="HM38" i="1"/>
  <c r="HN38" i="1"/>
  <c r="HO38" i="1"/>
  <c r="HP38" i="1"/>
  <c r="HQ38" i="1"/>
  <c r="HR38" i="1"/>
  <c r="HS38" i="1"/>
  <c r="HT38" i="1"/>
  <c r="HU38" i="1"/>
  <c r="HV38" i="1"/>
  <c r="HW38" i="1"/>
  <c r="HX38" i="1"/>
  <c r="HY38" i="1"/>
  <c r="HZ38" i="1"/>
  <c r="IA38" i="1"/>
  <c r="IB38" i="1"/>
  <c r="IC38" i="1"/>
  <c r="ID38" i="1"/>
  <c r="IE38" i="1"/>
  <c r="IF38" i="1"/>
  <c r="IG38" i="1"/>
  <c r="IH38" i="1"/>
  <c r="II38" i="1"/>
  <c r="IJ38" i="1"/>
  <c r="IK38" i="1"/>
  <c r="IL38" i="1"/>
  <c r="IM38" i="1"/>
  <c r="IN38" i="1"/>
  <c r="IO38" i="1"/>
  <c r="IP38" i="1"/>
  <c r="IQ38" i="1"/>
  <c r="IR38" i="1"/>
  <c r="IS38" i="1"/>
  <c r="IT38" i="1"/>
  <c r="IU38" i="1"/>
  <c r="IV38" i="1"/>
  <c r="IW38" i="1"/>
  <c r="IX38" i="1"/>
  <c r="IY38" i="1"/>
  <c r="IZ38" i="1"/>
  <c r="JA38" i="1"/>
  <c r="JB38" i="1"/>
  <c r="JC38" i="1"/>
  <c r="JD38" i="1"/>
  <c r="JE38" i="1"/>
  <c r="JF38" i="1"/>
  <c r="JG38" i="1"/>
  <c r="JH38" i="1"/>
  <c r="JI38" i="1"/>
  <c r="JJ38" i="1"/>
  <c r="JK38" i="1"/>
  <c r="JL38" i="1"/>
  <c r="JM38" i="1"/>
  <c r="JN38" i="1"/>
  <c r="JO38" i="1"/>
  <c r="JP38" i="1"/>
  <c r="JQ38" i="1"/>
  <c r="JR38" i="1"/>
  <c r="JS38" i="1"/>
  <c r="JT38" i="1"/>
  <c r="JU38" i="1"/>
  <c r="JV38" i="1"/>
  <c r="JW38" i="1"/>
  <c r="JX38" i="1"/>
  <c r="JY38" i="1"/>
  <c r="JZ38" i="1"/>
  <c r="KA38" i="1"/>
  <c r="KB38" i="1"/>
  <c r="KC38" i="1"/>
  <c r="KD38" i="1"/>
  <c r="KE38" i="1"/>
  <c r="KF38" i="1"/>
  <c r="KG38" i="1"/>
  <c r="KH38" i="1"/>
  <c r="KI38" i="1"/>
  <c r="KJ38" i="1"/>
  <c r="KK38" i="1"/>
  <c r="KL38" i="1"/>
  <c r="KM38" i="1"/>
  <c r="KN38" i="1"/>
  <c r="KO38" i="1"/>
  <c r="KP38" i="1"/>
  <c r="KQ38" i="1"/>
  <c r="KR38" i="1"/>
  <c r="KS38" i="1"/>
  <c r="KT38" i="1"/>
  <c r="KU38" i="1"/>
  <c r="KV38" i="1"/>
  <c r="KW38" i="1"/>
  <c r="KX38" i="1"/>
  <c r="KY38" i="1"/>
  <c r="KZ38" i="1"/>
  <c r="LA38" i="1"/>
  <c r="LB38" i="1"/>
  <c r="LC38" i="1"/>
  <c r="LD38" i="1"/>
  <c r="LE38" i="1"/>
  <c r="LF38" i="1"/>
  <c r="LG38" i="1"/>
  <c r="LH38" i="1"/>
  <c r="LI38" i="1"/>
  <c r="LJ38" i="1"/>
  <c r="LK38" i="1"/>
  <c r="LL38" i="1"/>
  <c r="LM38" i="1"/>
  <c r="LN38" i="1"/>
  <c r="LO38" i="1"/>
  <c r="LP38" i="1"/>
  <c r="LQ38" i="1"/>
  <c r="LR38" i="1"/>
  <c r="LS38" i="1"/>
  <c r="LT38" i="1"/>
  <c r="LU38" i="1"/>
  <c r="LV38" i="1"/>
  <c r="LW38" i="1"/>
  <c r="LX38" i="1"/>
  <c r="LY38" i="1"/>
  <c r="LZ38" i="1"/>
  <c r="MA38" i="1"/>
  <c r="MB38" i="1"/>
  <c r="MC38" i="1"/>
  <c r="MD38" i="1"/>
  <c r="ME38" i="1"/>
  <c r="MF38" i="1"/>
  <c r="MG38" i="1"/>
  <c r="MH38" i="1"/>
  <c r="MI38" i="1"/>
  <c r="MJ38" i="1"/>
  <c r="MK38" i="1"/>
  <c r="ML38" i="1"/>
  <c r="MM38" i="1"/>
  <c r="MN38" i="1"/>
  <c r="MO38" i="1"/>
  <c r="MP38" i="1"/>
  <c r="MQ38" i="1"/>
  <c r="MR38" i="1"/>
  <c r="MS38" i="1"/>
  <c r="MT38" i="1"/>
  <c r="MU38" i="1"/>
  <c r="MV38" i="1"/>
  <c r="MW38" i="1"/>
  <c r="MX38" i="1"/>
  <c r="MY38" i="1"/>
  <c r="MZ38" i="1"/>
  <c r="NA38" i="1"/>
  <c r="NB38" i="1"/>
  <c r="NC38" i="1"/>
  <c r="ND38" i="1"/>
  <c r="NE38" i="1"/>
  <c r="NF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EW39" i="1"/>
  <c r="EX39" i="1"/>
  <c r="EY39" i="1"/>
  <c r="EZ39" i="1"/>
  <c r="FA39" i="1"/>
  <c r="FB39" i="1"/>
  <c r="FC39" i="1"/>
  <c r="FD39" i="1"/>
  <c r="FE39" i="1"/>
  <c r="FF39" i="1"/>
  <c r="FG39" i="1"/>
  <c r="FH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FV39" i="1"/>
  <c r="FW39" i="1"/>
  <c r="FX39" i="1"/>
  <c r="FY39" i="1"/>
  <c r="FZ39" i="1"/>
  <c r="GA39" i="1"/>
  <c r="GB39" i="1"/>
  <c r="GC39" i="1"/>
  <c r="GD39" i="1"/>
  <c r="GE39" i="1"/>
  <c r="GF39" i="1"/>
  <c r="GG39" i="1"/>
  <c r="GH39" i="1"/>
  <c r="GI39" i="1"/>
  <c r="GJ39" i="1"/>
  <c r="GK39" i="1"/>
  <c r="GL39" i="1"/>
  <c r="GM39" i="1"/>
  <c r="GN39" i="1"/>
  <c r="GO39" i="1"/>
  <c r="GP39" i="1"/>
  <c r="GQ39" i="1"/>
  <c r="GR39" i="1"/>
  <c r="GS39" i="1"/>
  <c r="GT39" i="1"/>
  <c r="GU39" i="1"/>
  <c r="GV39" i="1"/>
  <c r="GW39" i="1"/>
  <c r="GX39" i="1"/>
  <c r="GY39" i="1"/>
  <c r="GZ39" i="1"/>
  <c r="HA39" i="1"/>
  <c r="HB39" i="1"/>
  <c r="HC39" i="1"/>
  <c r="HD39" i="1"/>
  <c r="HE39" i="1"/>
  <c r="HF39" i="1"/>
  <c r="HG39" i="1"/>
  <c r="HH39" i="1"/>
  <c r="HI39" i="1"/>
  <c r="HJ39" i="1"/>
  <c r="HK39" i="1"/>
  <c r="HL39" i="1"/>
  <c r="HM39" i="1"/>
  <c r="HN39" i="1"/>
  <c r="HO39" i="1"/>
  <c r="HP39" i="1"/>
  <c r="HQ39" i="1"/>
  <c r="HR39" i="1"/>
  <c r="HS39" i="1"/>
  <c r="HT39" i="1"/>
  <c r="HU39" i="1"/>
  <c r="HV39" i="1"/>
  <c r="HW39" i="1"/>
  <c r="HX39" i="1"/>
  <c r="HY39" i="1"/>
  <c r="HZ39" i="1"/>
  <c r="IA39" i="1"/>
  <c r="IB39" i="1"/>
  <c r="IC39" i="1"/>
  <c r="ID39" i="1"/>
  <c r="IE39" i="1"/>
  <c r="IF39" i="1"/>
  <c r="IG39" i="1"/>
  <c r="IH39" i="1"/>
  <c r="II39" i="1"/>
  <c r="IJ39" i="1"/>
  <c r="IK39" i="1"/>
  <c r="IL39" i="1"/>
  <c r="IM39" i="1"/>
  <c r="IN39" i="1"/>
  <c r="IO39" i="1"/>
  <c r="IP39" i="1"/>
  <c r="IQ39" i="1"/>
  <c r="IR39" i="1"/>
  <c r="IS39" i="1"/>
  <c r="IT39" i="1"/>
  <c r="IU39" i="1"/>
  <c r="IV39" i="1"/>
  <c r="IW39" i="1"/>
  <c r="IX39" i="1"/>
  <c r="IY39" i="1"/>
  <c r="IZ39" i="1"/>
  <c r="JA39" i="1"/>
  <c r="JB39" i="1"/>
  <c r="JC39" i="1"/>
  <c r="JD39" i="1"/>
  <c r="JE39" i="1"/>
  <c r="JF39" i="1"/>
  <c r="JG39" i="1"/>
  <c r="JH39" i="1"/>
  <c r="JI39" i="1"/>
  <c r="JJ39" i="1"/>
  <c r="JK39" i="1"/>
  <c r="JL39" i="1"/>
  <c r="JM39" i="1"/>
  <c r="JN39" i="1"/>
  <c r="JO39" i="1"/>
  <c r="JP39" i="1"/>
  <c r="JQ39" i="1"/>
  <c r="JR39" i="1"/>
  <c r="JS39" i="1"/>
  <c r="JT39" i="1"/>
  <c r="JU39" i="1"/>
  <c r="JV39" i="1"/>
  <c r="JW39" i="1"/>
  <c r="JX39" i="1"/>
  <c r="JY39" i="1"/>
  <c r="JZ39" i="1"/>
  <c r="KA39" i="1"/>
  <c r="KB39" i="1"/>
  <c r="KC39" i="1"/>
  <c r="KD39" i="1"/>
  <c r="KE39" i="1"/>
  <c r="KF39" i="1"/>
  <c r="KG39" i="1"/>
  <c r="KH39" i="1"/>
  <c r="KI39" i="1"/>
  <c r="KJ39" i="1"/>
  <c r="KK39" i="1"/>
  <c r="KL39" i="1"/>
  <c r="KM39" i="1"/>
  <c r="KN39" i="1"/>
  <c r="KO39" i="1"/>
  <c r="KP39" i="1"/>
  <c r="KQ39" i="1"/>
  <c r="KR39" i="1"/>
  <c r="KS39" i="1"/>
  <c r="KT39" i="1"/>
  <c r="KU39" i="1"/>
  <c r="KV39" i="1"/>
  <c r="KW39" i="1"/>
  <c r="KX39" i="1"/>
  <c r="KY39" i="1"/>
  <c r="KZ39" i="1"/>
  <c r="LA39" i="1"/>
  <c r="LB39" i="1"/>
  <c r="LC39" i="1"/>
  <c r="LD39" i="1"/>
  <c r="LE39" i="1"/>
  <c r="LF39" i="1"/>
  <c r="LG39" i="1"/>
  <c r="LH39" i="1"/>
  <c r="LI39" i="1"/>
  <c r="LJ39" i="1"/>
  <c r="LK39" i="1"/>
  <c r="LL39" i="1"/>
  <c r="LM39" i="1"/>
  <c r="LN39" i="1"/>
  <c r="LO39" i="1"/>
  <c r="LP39" i="1"/>
  <c r="LQ39" i="1"/>
  <c r="LR39" i="1"/>
  <c r="LS39" i="1"/>
  <c r="LT39" i="1"/>
  <c r="LU39" i="1"/>
  <c r="LV39" i="1"/>
  <c r="LW39" i="1"/>
  <c r="LX39" i="1"/>
  <c r="LY39" i="1"/>
  <c r="LZ39" i="1"/>
  <c r="MA39" i="1"/>
  <c r="MB39" i="1"/>
  <c r="MC39" i="1"/>
  <c r="MD39" i="1"/>
  <c r="ME39" i="1"/>
  <c r="MF39" i="1"/>
  <c r="MG39" i="1"/>
  <c r="MH39" i="1"/>
  <c r="MI39" i="1"/>
  <c r="MJ39" i="1"/>
  <c r="MK39" i="1"/>
  <c r="ML39" i="1"/>
  <c r="MM39" i="1"/>
  <c r="MN39" i="1"/>
  <c r="MO39" i="1"/>
  <c r="MP39" i="1"/>
  <c r="MQ39" i="1"/>
  <c r="MR39" i="1"/>
  <c r="MS39" i="1"/>
  <c r="MT39" i="1"/>
  <c r="MU39" i="1"/>
  <c r="MV39" i="1"/>
  <c r="MW39" i="1"/>
  <c r="MX39" i="1"/>
  <c r="MY39" i="1"/>
  <c r="MZ39" i="1"/>
  <c r="NA39" i="1"/>
  <c r="NB39" i="1"/>
  <c r="NC39" i="1"/>
  <c r="ND39" i="1"/>
  <c r="NE39" i="1"/>
  <c r="NF39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EW40" i="1"/>
  <c r="EX40" i="1"/>
  <c r="EY40" i="1"/>
  <c r="EZ40" i="1"/>
  <c r="FA40" i="1"/>
  <c r="FB40" i="1"/>
  <c r="FC40" i="1"/>
  <c r="FD40" i="1"/>
  <c r="FE40" i="1"/>
  <c r="FF40" i="1"/>
  <c r="FG40" i="1"/>
  <c r="FH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FV40" i="1"/>
  <c r="FW40" i="1"/>
  <c r="FX40" i="1"/>
  <c r="FY40" i="1"/>
  <c r="FZ40" i="1"/>
  <c r="GA40" i="1"/>
  <c r="GB40" i="1"/>
  <c r="GC40" i="1"/>
  <c r="GD40" i="1"/>
  <c r="GE40" i="1"/>
  <c r="GF40" i="1"/>
  <c r="GG40" i="1"/>
  <c r="GH40" i="1"/>
  <c r="GI40" i="1"/>
  <c r="GJ40" i="1"/>
  <c r="GK40" i="1"/>
  <c r="GL40" i="1"/>
  <c r="GM40" i="1"/>
  <c r="GN40" i="1"/>
  <c r="GO40" i="1"/>
  <c r="GP40" i="1"/>
  <c r="GQ40" i="1"/>
  <c r="GR40" i="1"/>
  <c r="GS40" i="1"/>
  <c r="GT40" i="1"/>
  <c r="GU40" i="1"/>
  <c r="GV40" i="1"/>
  <c r="GW40" i="1"/>
  <c r="GX40" i="1"/>
  <c r="GY40" i="1"/>
  <c r="GZ40" i="1"/>
  <c r="HA40" i="1"/>
  <c r="HB40" i="1"/>
  <c r="HC40" i="1"/>
  <c r="HD40" i="1"/>
  <c r="HE40" i="1"/>
  <c r="HF40" i="1"/>
  <c r="HG40" i="1"/>
  <c r="HH40" i="1"/>
  <c r="HI40" i="1"/>
  <c r="HJ40" i="1"/>
  <c r="HK40" i="1"/>
  <c r="HL40" i="1"/>
  <c r="HM40" i="1"/>
  <c r="HN40" i="1"/>
  <c r="HO40" i="1"/>
  <c r="HP40" i="1"/>
  <c r="HQ40" i="1"/>
  <c r="HR40" i="1"/>
  <c r="HS40" i="1"/>
  <c r="HT40" i="1"/>
  <c r="HU40" i="1"/>
  <c r="HV40" i="1"/>
  <c r="HW40" i="1"/>
  <c r="HX40" i="1"/>
  <c r="HY40" i="1"/>
  <c r="HZ40" i="1"/>
  <c r="IA40" i="1"/>
  <c r="IB40" i="1"/>
  <c r="IC40" i="1"/>
  <c r="ID40" i="1"/>
  <c r="IE40" i="1"/>
  <c r="IF40" i="1"/>
  <c r="IG40" i="1"/>
  <c r="IH40" i="1"/>
  <c r="II40" i="1"/>
  <c r="IJ40" i="1"/>
  <c r="IK40" i="1"/>
  <c r="IL40" i="1"/>
  <c r="IM40" i="1"/>
  <c r="IN40" i="1"/>
  <c r="IO40" i="1"/>
  <c r="IP40" i="1"/>
  <c r="IQ40" i="1"/>
  <c r="IR40" i="1"/>
  <c r="IS40" i="1"/>
  <c r="IT40" i="1"/>
  <c r="IU40" i="1"/>
  <c r="IV40" i="1"/>
  <c r="IW40" i="1"/>
  <c r="IX40" i="1"/>
  <c r="IY40" i="1"/>
  <c r="IZ40" i="1"/>
  <c r="JA40" i="1"/>
  <c r="JB40" i="1"/>
  <c r="JC40" i="1"/>
  <c r="JD40" i="1"/>
  <c r="JE40" i="1"/>
  <c r="JF40" i="1"/>
  <c r="JG40" i="1"/>
  <c r="JH40" i="1"/>
  <c r="JI40" i="1"/>
  <c r="JJ40" i="1"/>
  <c r="JK40" i="1"/>
  <c r="JL40" i="1"/>
  <c r="JM40" i="1"/>
  <c r="JN40" i="1"/>
  <c r="JO40" i="1"/>
  <c r="JP40" i="1"/>
  <c r="JQ40" i="1"/>
  <c r="JR40" i="1"/>
  <c r="JS40" i="1"/>
  <c r="JT40" i="1"/>
  <c r="JU40" i="1"/>
  <c r="JV40" i="1"/>
  <c r="JW40" i="1"/>
  <c r="JX40" i="1"/>
  <c r="JY40" i="1"/>
  <c r="JZ40" i="1"/>
  <c r="KA40" i="1"/>
  <c r="KB40" i="1"/>
  <c r="KC40" i="1"/>
  <c r="KD40" i="1"/>
  <c r="KE40" i="1"/>
  <c r="KF40" i="1"/>
  <c r="KG40" i="1"/>
  <c r="KH40" i="1"/>
  <c r="KI40" i="1"/>
  <c r="KJ40" i="1"/>
  <c r="KK40" i="1"/>
  <c r="KL40" i="1"/>
  <c r="KM40" i="1"/>
  <c r="KN40" i="1"/>
  <c r="KO40" i="1"/>
  <c r="KP40" i="1"/>
  <c r="KQ40" i="1"/>
  <c r="KR40" i="1"/>
  <c r="KS40" i="1"/>
  <c r="KT40" i="1"/>
  <c r="KU40" i="1"/>
  <c r="KV40" i="1"/>
  <c r="KW40" i="1"/>
  <c r="KX40" i="1"/>
  <c r="KY40" i="1"/>
  <c r="KZ40" i="1"/>
  <c r="LA40" i="1"/>
  <c r="LB40" i="1"/>
  <c r="LC40" i="1"/>
  <c r="LD40" i="1"/>
  <c r="LE40" i="1"/>
  <c r="LF40" i="1"/>
  <c r="LG40" i="1"/>
  <c r="LH40" i="1"/>
  <c r="LI40" i="1"/>
  <c r="LJ40" i="1"/>
  <c r="LK40" i="1"/>
  <c r="LL40" i="1"/>
  <c r="LM40" i="1"/>
  <c r="LN40" i="1"/>
  <c r="LO40" i="1"/>
  <c r="LP40" i="1"/>
  <c r="LQ40" i="1"/>
  <c r="LR40" i="1"/>
  <c r="LS40" i="1"/>
  <c r="LT40" i="1"/>
  <c r="LU40" i="1"/>
  <c r="LV40" i="1"/>
  <c r="LW40" i="1"/>
  <c r="LX40" i="1"/>
  <c r="LY40" i="1"/>
  <c r="LZ40" i="1"/>
  <c r="MA40" i="1"/>
  <c r="MB40" i="1"/>
  <c r="MC40" i="1"/>
  <c r="MD40" i="1"/>
  <c r="ME40" i="1"/>
  <c r="MF40" i="1"/>
  <c r="MG40" i="1"/>
  <c r="MH40" i="1"/>
  <c r="MI40" i="1"/>
  <c r="MJ40" i="1"/>
  <c r="MK40" i="1"/>
  <c r="ML40" i="1"/>
  <c r="MM40" i="1"/>
  <c r="MN40" i="1"/>
  <c r="MO40" i="1"/>
  <c r="MP40" i="1"/>
  <c r="MQ40" i="1"/>
  <c r="MR40" i="1"/>
  <c r="MS40" i="1"/>
  <c r="MT40" i="1"/>
  <c r="MU40" i="1"/>
  <c r="MV40" i="1"/>
  <c r="MW40" i="1"/>
  <c r="MX40" i="1"/>
  <c r="MY40" i="1"/>
  <c r="MZ40" i="1"/>
  <c r="NA40" i="1"/>
  <c r="NB40" i="1"/>
  <c r="NC40" i="1"/>
  <c r="ND40" i="1"/>
  <c r="NE40" i="1"/>
  <c r="NF40" i="1"/>
  <c r="C37" i="1"/>
  <c r="D37" i="1"/>
  <c r="E37" i="1"/>
  <c r="F37" i="1"/>
  <c r="G37" i="1"/>
  <c r="H37" i="1"/>
  <c r="I37" i="1"/>
  <c r="C38" i="1"/>
  <c r="D38" i="1"/>
  <c r="E38" i="1"/>
  <c r="F38" i="1"/>
  <c r="G38" i="1"/>
  <c r="H38" i="1"/>
  <c r="I38" i="1"/>
  <c r="C39" i="1"/>
  <c r="D39" i="1"/>
  <c r="E39" i="1"/>
  <c r="F39" i="1"/>
  <c r="G39" i="1"/>
  <c r="H39" i="1"/>
  <c r="I39" i="1"/>
  <c r="C40" i="1"/>
  <c r="D40" i="1"/>
  <c r="E40" i="1"/>
  <c r="F40" i="1"/>
  <c r="G40" i="1"/>
  <c r="H40" i="1"/>
  <c r="I40" i="1"/>
  <c r="B40" i="1"/>
  <c r="B39" i="1"/>
  <c r="B38" i="1"/>
  <c r="B37" i="1"/>
  <c r="R53" i="4" l="1"/>
  <c r="S53" i="4" s="1"/>
  <c r="R54" i="4" s="1"/>
  <c r="K7" i="7"/>
  <c r="L7" i="7" s="1"/>
  <c r="M7" i="7" s="1"/>
  <c r="N7" i="7" s="1"/>
  <c r="K10" i="7"/>
  <c r="L10" i="7" s="1"/>
  <c r="M10" i="7" s="1"/>
  <c r="N10" i="7" s="1"/>
  <c r="K16" i="7"/>
  <c r="L16" i="7" s="1"/>
  <c r="M16" i="7" s="1"/>
  <c r="N16" i="7" s="1"/>
  <c r="K14" i="7"/>
  <c r="L14" i="7" s="1"/>
  <c r="M14" i="7" s="1"/>
  <c r="N14" i="7" s="1"/>
  <c r="K12" i="7"/>
  <c r="L12" i="7" s="1"/>
  <c r="M12" i="7" s="1"/>
  <c r="N12" i="7" s="1"/>
  <c r="K15" i="7"/>
  <c r="L15" i="7" s="1"/>
  <c r="M15" i="7" s="1"/>
  <c r="N15" i="7" s="1"/>
  <c r="K8" i="7"/>
  <c r="L8" i="7" s="1"/>
  <c r="M8" i="7" s="1"/>
  <c r="N8" i="7" s="1"/>
  <c r="K5" i="7"/>
  <c r="L5" i="7" s="1"/>
  <c r="M5" i="7" s="1"/>
  <c r="N5" i="7" s="1"/>
  <c r="K17" i="7"/>
  <c r="L17" i="7" s="1"/>
  <c r="M17" i="7" s="1"/>
  <c r="N17" i="7" s="1"/>
  <c r="K13" i="7"/>
  <c r="L13" i="7" s="1"/>
  <c r="M13" i="7" s="1"/>
  <c r="N13" i="7" s="1"/>
  <c r="K9" i="7"/>
  <c r="L9" i="7" s="1"/>
  <c r="M9" i="7" s="1"/>
  <c r="N9" i="7" s="1"/>
  <c r="K6" i="7"/>
  <c r="L6" i="7" s="1"/>
  <c r="M6" i="7" s="1"/>
  <c r="N6" i="7" s="1"/>
  <c r="GD3" i="1"/>
  <c r="GE3" i="1" s="1"/>
  <c r="GF3" i="1" s="1"/>
  <c r="GG3" i="1" s="1"/>
  <c r="GH3" i="1" s="1"/>
  <c r="GI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  <c r="IU3" i="1" s="1"/>
  <c r="IV3" i="1" s="1"/>
  <c r="IW3" i="1" s="1"/>
  <c r="IX3" i="1" s="1"/>
  <c r="IY3" i="1" s="1"/>
  <c r="IZ3" i="1" s="1"/>
  <c r="JA3" i="1" s="1"/>
  <c r="JB3" i="1" s="1"/>
  <c r="JC3" i="1" s="1"/>
  <c r="JD3" i="1" s="1"/>
  <c r="JE3" i="1" s="1"/>
  <c r="JF3" i="1" s="1"/>
  <c r="JG3" i="1" s="1"/>
  <c r="JH3" i="1" s="1"/>
  <c r="JI3" i="1" s="1"/>
  <c r="JJ3" i="1" s="1"/>
  <c r="JK3" i="1" s="1"/>
  <c r="JL3" i="1" s="1"/>
  <c r="JM3" i="1" s="1"/>
  <c r="JN3" i="1" s="1"/>
  <c r="JO3" i="1" s="1"/>
  <c r="JP3" i="1" s="1"/>
  <c r="JQ3" i="1" s="1"/>
  <c r="JR3" i="1" s="1"/>
  <c r="JS3" i="1" s="1"/>
  <c r="JT3" i="1" s="1"/>
  <c r="JU3" i="1" s="1"/>
  <c r="JV3" i="1" s="1"/>
  <c r="JW3" i="1" s="1"/>
  <c r="JX3" i="1" s="1"/>
  <c r="JY3" i="1" s="1"/>
  <c r="JZ3" i="1" s="1"/>
  <c r="KA3" i="1" s="1"/>
  <c r="KB3" i="1" s="1"/>
  <c r="KC3" i="1" s="1"/>
  <c r="KD3" i="1" s="1"/>
  <c r="KE3" i="1" s="1"/>
  <c r="KF3" i="1" s="1"/>
  <c r="KG3" i="1" s="1"/>
  <c r="KH3" i="1" s="1"/>
  <c r="KI3" i="1" s="1"/>
  <c r="KJ3" i="1" s="1"/>
  <c r="KK3" i="1" s="1"/>
  <c r="KL3" i="1" s="1"/>
  <c r="KM3" i="1" s="1"/>
  <c r="KN3" i="1" s="1"/>
  <c r="KO3" i="1" s="1"/>
  <c r="KP3" i="1" s="1"/>
  <c r="KQ3" i="1" s="1"/>
  <c r="KR3" i="1" s="1"/>
  <c r="KS3" i="1" s="1"/>
  <c r="KT3" i="1" s="1"/>
  <c r="KU3" i="1" s="1"/>
  <c r="KV3" i="1" s="1"/>
  <c r="KW3" i="1" s="1"/>
  <c r="KX3" i="1" s="1"/>
  <c r="KY3" i="1" s="1"/>
  <c r="KZ3" i="1" s="1"/>
  <c r="O3" i="4"/>
  <c r="N4" i="4" s="1"/>
  <c r="O4" i="4" s="1"/>
  <c r="N5" i="4" s="1"/>
  <c r="O5" i="4" s="1"/>
  <c r="N6" i="4" s="1"/>
  <c r="O6" i="4" s="1"/>
  <c r="N7" i="4" s="1"/>
  <c r="O7" i="4" s="1"/>
  <c r="N8" i="4" s="1"/>
  <c r="O8" i="4" s="1"/>
  <c r="N9" i="4" s="1"/>
  <c r="O9" i="4" s="1"/>
  <c r="N10" i="4" s="1"/>
  <c r="O10" i="4" s="1"/>
  <c r="N11" i="4" s="1"/>
  <c r="O11" i="4" s="1"/>
  <c r="N12" i="4" s="1"/>
  <c r="O12" i="4" s="1"/>
  <c r="N13" i="4" s="1"/>
  <c r="O13" i="4" s="1"/>
  <c r="N14" i="4" s="1"/>
  <c r="O14" i="4" s="1"/>
  <c r="N15" i="4" s="1"/>
  <c r="O15" i="4" s="1"/>
  <c r="N16" i="4" s="1"/>
  <c r="O16" i="4" s="1"/>
  <c r="N17" i="4" s="1"/>
  <c r="O17" i="4" s="1"/>
  <c r="N18" i="4" s="1"/>
  <c r="O18" i="4" s="1"/>
  <c r="N19" i="4" s="1"/>
  <c r="O19" i="4" s="1"/>
  <c r="N20" i="4" s="1"/>
  <c r="O20" i="4" s="1"/>
  <c r="N21" i="4" s="1"/>
  <c r="O21" i="4" s="1"/>
  <c r="N22" i="4" s="1"/>
  <c r="O22" i="4" s="1"/>
  <c r="N23" i="4" s="1"/>
  <c r="O23" i="4" s="1"/>
  <c r="N24" i="4" s="1"/>
  <c r="O24" i="4" s="1"/>
  <c r="N25" i="4" s="1"/>
  <c r="O25" i="4" s="1"/>
  <c r="N26" i="4" s="1"/>
  <c r="O26" i="4" s="1"/>
  <c r="N27" i="4" s="1"/>
  <c r="O27" i="4" s="1"/>
  <c r="N28" i="4" s="1"/>
  <c r="O28" i="4" s="1"/>
  <c r="N29" i="4" s="1"/>
  <c r="O29" i="4" s="1"/>
  <c r="N30" i="4" s="1"/>
  <c r="O30" i="4" s="1"/>
  <c r="N31" i="4" s="1"/>
  <c r="O31" i="4" s="1"/>
  <c r="N32" i="4" s="1"/>
  <c r="O32" i="4" s="1"/>
  <c r="N33" i="4" s="1"/>
  <c r="O33" i="4" s="1"/>
  <c r="N34" i="4" s="1"/>
  <c r="O34" i="4" s="1"/>
  <c r="N35" i="4" s="1"/>
  <c r="O35" i="4" s="1"/>
  <c r="N36" i="4" s="1"/>
  <c r="O36" i="4" s="1"/>
  <c r="N37" i="4" s="1"/>
  <c r="O37" i="4" s="1"/>
  <c r="N38" i="4" s="1"/>
  <c r="O38" i="4" s="1"/>
  <c r="N39" i="4" s="1"/>
  <c r="O39" i="4" s="1"/>
  <c r="N40" i="4" s="1"/>
  <c r="O40" i="4" s="1"/>
  <c r="N41" i="4" s="1"/>
  <c r="O41" i="4" s="1"/>
  <c r="N42" i="4" s="1"/>
  <c r="O42" i="4" s="1"/>
  <c r="N43" i="4" s="1"/>
  <c r="O43" i="4" s="1"/>
  <c r="N44" i="4" s="1"/>
  <c r="O44" i="4" s="1"/>
  <c r="N45" i="4" s="1"/>
  <c r="O45" i="4" s="1"/>
  <c r="N46" i="4" s="1"/>
  <c r="O46" i="4" s="1"/>
  <c r="N47" i="4" s="1"/>
  <c r="O47" i="4" s="1"/>
  <c r="N48" i="4" s="1"/>
  <c r="O48" i="4" s="1"/>
  <c r="N49" i="4" s="1"/>
  <c r="O49" i="4" s="1"/>
  <c r="N50" i="4" s="1"/>
  <c r="O50" i="4" s="1"/>
  <c r="N51" i="4" s="1"/>
  <c r="O51" i="4" s="1"/>
  <c r="N52" i="4" s="1"/>
  <c r="O52" i="4" s="1"/>
  <c r="N53" i="4" s="1"/>
  <c r="O53" i="4" s="1"/>
  <c r="N54" i="4" s="1"/>
  <c r="O54" i="4" s="1"/>
  <c r="N55" i="4" s="1"/>
  <c r="O55" i="4" s="1"/>
  <c r="S54" i="4" l="1"/>
  <c r="LA3" i="1"/>
  <c r="LB3" i="1" s="1"/>
  <c r="LC3" i="1" s="1"/>
  <c r="LD3" i="1" s="1"/>
  <c r="LE3" i="1" s="1"/>
  <c r="LF3" i="1" s="1"/>
  <c r="LG3" i="1" s="1"/>
  <c r="LH3" i="1" s="1"/>
  <c r="LI3" i="1" s="1"/>
  <c r="LJ3" i="1" s="1"/>
  <c r="LK3" i="1" s="1"/>
  <c r="LL3" i="1" s="1"/>
  <c r="LM3" i="1" s="1"/>
  <c r="LN3" i="1" s="1"/>
  <c r="LO3" i="1" s="1"/>
  <c r="LP3" i="1" s="1"/>
  <c r="LQ3" i="1" s="1"/>
  <c r="LR3" i="1" s="1"/>
  <c r="LS3" i="1" s="1"/>
  <c r="LT3" i="1" s="1"/>
  <c r="LU3" i="1" s="1"/>
  <c r="LV3" i="1" s="1"/>
  <c r="LW3" i="1" s="1"/>
  <c r="LX3" i="1" s="1"/>
  <c r="LY3" i="1" s="1"/>
  <c r="LZ3" i="1" s="1"/>
  <c r="MA3" i="1" s="1"/>
  <c r="MB3" i="1" s="1"/>
  <c r="MC3" i="1" s="1"/>
  <c r="MD3" i="1" s="1"/>
  <c r="ME3" i="1" s="1"/>
  <c r="MF3" i="1" s="1"/>
  <c r="MG3" i="1" s="1"/>
  <c r="MH3" i="1" s="1"/>
  <c r="MI3" i="1" s="1"/>
  <c r="MJ3" i="1" s="1"/>
  <c r="MK3" i="1" s="1"/>
  <c r="ML3" i="1" s="1"/>
  <c r="MM3" i="1" s="1"/>
  <c r="MN3" i="1" s="1"/>
  <c r="MO3" i="1" s="1"/>
  <c r="MP3" i="1" s="1"/>
  <c r="MQ3" i="1" s="1"/>
  <c r="MR3" i="1" s="1"/>
  <c r="MS3" i="1" s="1"/>
  <c r="MT3" i="1" s="1"/>
  <c r="MU3" i="1" s="1"/>
  <c r="MV3" i="1" s="1"/>
  <c r="MW3" i="1" s="1"/>
  <c r="MX3" i="1" s="1"/>
  <c r="MY3" i="1" s="1"/>
  <c r="MZ3" i="1" s="1"/>
  <c r="NA3" i="1" s="1"/>
  <c r="NB3" i="1" s="1"/>
  <c r="NC3" i="1" s="1"/>
  <c r="ND3" i="1" s="1"/>
  <c r="NE3" i="1" s="1"/>
  <c r="NF3" i="1" s="1"/>
  <c r="NG3" i="1" s="1"/>
  <c r="NH3" i="1" s="1"/>
  <c r="NI3" i="1" s="1"/>
  <c r="B5" i="3"/>
  <c r="H5" i="3"/>
  <c r="V3" i="4" l="1"/>
  <c r="J16" i="3"/>
  <c r="L16" i="3" s="1"/>
  <c r="J6" i="3"/>
  <c r="L6" i="3" s="1"/>
  <c r="J22" i="3"/>
  <c r="L22" i="3" s="1"/>
  <c r="J18" i="3"/>
  <c r="L18" i="3" s="1"/>
  <c r="J17" i="3"/>
  <c r="L17" i="3" s="1"/>
  <c r="J12" i="3"/>
  <c r="L12" i="3" s="1"/>
  <c r="J8" i="3"/>
  <c r="L8" i="3" s="1"/>
  <c r="J15" i="3"/>
  <c r="L15" i="3" s="1"/>
  <c r="J11" i="3"/>
  <c r="L11" i="3" s="1"/>
  <c r="J19" i="3"/>
  <c r="L19" i="3" s="1"/>
  <c r="J14" i="3"/>
  <c r="L14" i="3" s="1"/>
  <c r="J10" i="3"/>
  <c r="L10" i="3" s="1"/>
  <c r="J13" i="3"/>
  <c r="L13" i="3" s="1"/>
  <c r="J9" i="3"/>
  <c r="L9" i="3" s="1"/>
  <c r="H15" i="3"/>
  <c r="H12" i="3"/>
  <c r="H16" i="3"/>
  <c r="H13" i="3"/>
  <c r="B21" i="3"/>
  <c r="B15" i="3"/>
  <c r="B16" i="3"/>
  <c r="H6" i="3"/>
  <c r="B6" i="3"/>
  <c r="B9" i="3"/>
  <c r="H22" i="3"/>
  <c r="H21" i="3"/>
  <c r="B19" i="3"/>
  <c r="B22" i="3"/>
  <c r="B17" i="3"/>
  <c r="B18" i="3"/>
  <c r="H18" i="3"/>
  <c r="B20" i="3"/>
  <c r="H17" i="3"/>
  <c r="B12" i="3"/>
  <c r="H10" i="3"/>
  <c r="B14" i="3"/>
  <c r="B10" i="3"/>
  <c r="B11" i="3"/>
  <c r="B8" i="3"/>
  <c r="H20" i="3"/>
  <c r="H19" i="3"/>
  <c r="W3" i="4" l="1"/>
  <c r="J4" i="4"/>
  <c r="K4" i="4" s="1"/>
  <c r="J5" i="4" s="1"/>
  <c r="V4" i="4" l="1"/>
  <c r="W4" i="4" s="1"/>
  <c r="V5" i="4" s="1"/>
  <c r="W5" i="4" s="1"/>
  <c r="V6" i="4" s="1"/>
  <c r="W6" i="4" s="1"/>
  <c r="V7" i="4" s="1"/>
  <c r="W7" i="4" s="1"/>
  <c r="V8" i="4" s="1"/>
  <c r="W8" i="4" s="1"/>
  <c r="V9" i="4" s="1"/>
  <c r="W9" i="4" s="1"/>
  <c r="V10" i="4" s="1"/>
  <c r="W10" i="4" s="1"/>
  <c r="V11" i="4" s="1"/>
  <c r="W11" i="4" s="1"/>
  <c r="V12" i="4" s="1"/>
  <c r="W12" i="4" s="1"/>
  <c r="V13" i="4" s="1"/>
  <c r="W13" i="4" s="1"/>
  <c r="V14" i="4" s="1"/>
  <c r="W14" i="4" s="1"/>
  <c r="V15" i="4" s="1"/>
  <c r="W15" i="4" s="1"/>
  <c r="V16" i="4" s="1"/>
  <c r="W16" i="4" s="1"/>
  <c r="V17" i="4" s="1"/>
  <c r="W17" i="4" s="1"/>
  <c r="V18" i="4" s="1"/>
  <c r="W18" i="4" s="1"/>
  <c r="V19" i="4" s="1"/>
  <c r="W19" i="4" s="1"/>
  <c r="V20" i="4" s="1"/>
  <c r="W20" i="4" s="1"/>
  <c r="V21" i="4" s="1"/>
  <c r="W21" i="4" s="1"/>
  <c r="V22" i="4" s="1"/>
  <c r="W22" i="4" s="1"/>
  <c r="V23" i="4" s="1"/>
  <c r="W23" i="4" s="1"/>
  <c r="V24" i="4" s="1"/>
  <c r="W24" i="4" s="1"/>
  <c r="V25" i="4" s="1"/>
  <c r="W25" i="4" s="1"/>
  <c r="V26" i="4" s="1"/>
  <c r="W26" i="4" s="1"/>
  <c r="V27" i="4" s="1"/>
  <c r="W27" i="4" s="1"/>
  <c r="V28" i="4" s="1"/>
  <c r="W28" i="4" s="1"/>
  <c r="V29" i="4" s="1"/>
  <c r="W29" i="4" s="1"/>
  <c r="V30" i="4" s="1"/>
  <c r="W30" i="4" s="1"/>
  <c r="V31" i="4" s="1"/>
  <c r="W31" i="4" s="1"/>
  <c r="V32" i="4" s="1"/>
  <c r="W32" i="4" s="1"/>
  <c r="V33" i="4" s="1"/>
  <c r="W33" i="4" s="1"/>
  <c r="V34" i="4" s="1"/>
  <c r="W34" i="4" s="1"/>
  <c r="V35" i="4" s="1"/>
  <c r="W35" i="4" s="1"/>
  <c r="V36" i="4" s="1"/>
  <c r="W36" i="4" s="1"/>
  <c r="V37" i="4" s="1"/>
  <c r="W37" i="4" s="1"/>
  <c r="V38" i="4" s="1"/>
  <c r="W38" i="4" s="1"/>
  <c r="V39" i="4" s="1"/>
  <c r="W39" i="4" s="1"/>
  <c r="V40" i="4" s="1"/>
  <c r="W40" i="4" s="1"/>
  <c r="V41" i="4" s="1"/>
  <c r="W41" i="4" s="1"/>
  <c r="V42" i="4" s="1"/>
  <c r="W42" i="4" s="1"/>
  <c r="V43" i="4" s="1"/>
  <c r="W43" i="4" s="1"/>
  <c r="V44" i="4" s="1"/>
  <c r="W44" i="4" s="1"/>
  <c r="V45" i="4" s="1"/>
  <c r="W45" i="4" s="1"/>
  <c r="V46" i="4" s="1"/>
  <c r="W46" i="4" s="1"/>
  <c r="V47" i="4" s="1"/>
  <c r="W47" i="4" s="1"/>
  <c r="V48" i="4" s="1"/>
  <c r="W48" i="4" s="1"/>
  <c r="V49" i="4" s="1"/>
  <c r="W49" i="4" s="1"/>
  <c r="V50" i="4" s="1"/>
  <c r="W50" i="4" s="1"/>
  <c r="V51" i="4" s="1"/>
  <c r="W51" i="4" s="1"/>
  <c r="V52" i="4" s="1"/>
  <c r="W52" i="4" s="1"/>
  <c r="V53" i="4" s="1"/>
  <c r="W53" i="4" s="1"/>
  <c r="V54" i="4" s="1"/>
  <c r="W54" i="4" s="1"/>
  <c r="Z3" i="4" s="1"/>
  <c r="K5" i="4"/>
  <c r="J6" i="4" s="1"/>
  <c r="K6" i="4" s="1"/>
  <c r="J7" i="4" s="1"/>
  <c r="K7" i="4" s="1"/>
  <c r="J8" i="4" s="1"/>
  <c r="K8" i="4" s="1"/>
  <c r="J9" i="4" s="1"/>
  <c r="K9" i="4" s="1"/>
  <c r="J10" i="4" s="1"/>
  <c r="K10" i="4" s="1"/>
  <c r="J11" i="4" s="1"/>
  <c r="K11" i="4" s="1"/>
  <c r="J12" i="4" s="1"/>
  <c r="K12" i="4" s="1"/>
  <c r="J13" i="4" s="1"/>
  <c r="K13" i="4" s="1"/>
  <c r="J14" i="4" s="1"/>
  <c r="K14" i="4" s="1"/>
  <c r="J15" i="4" s="1"/>
  <c r="K15" i="4" s="1"/>
  <c r="J16" i="4" s="1"/>
  <c r="K16" i="4" s="1"/>
  <c r="J17" i="4" s="1"/>
  <c r="K17" i="4" s="1"/>
  <c r="J18" i="4" s="1"/>
  <c r="K18" i="4" s="1"/>
  <c r="J19" i="4" s="1"/>
  <c r="K19" i="4" s="1"/>
  <c r="J20" i="4" s="1"/>
  <c r="K20" i="4" s="1"/>
  <c r="J21" i="4" s="1"/>
  <c r="K21" i="4" s="1"/>
  <c r="J22" i="4" s="1"/>
  <c r="K22" i="4" s="1"/>
  <c r="J23" i="4" s="1"/>
  <c r="K23" i="4" s="1"/>
  <c r="J24" i="4" s="1"/>
  <c r="K24" i="4" s="1"/>
  <c r="J25" i="4" s="1"/>
  <c r="K25" i="4" s="1"/>
  <c r="J26" i="4" s="1"/>
  <c r="K26" i="4" s="1"/>
  <c r="J27" i="4" s="1"/>
  <c r="K27" i="4" s="1"/>
  <c r="J28" i="4" s="1"/>
  <c r="K28" i="4" s="1"/>
  <c r="J29" i="4" s="1"/>
  <c r="K29" i="4" s="1"/>
  <c r="J30" i="4" s="1"/>
  <c r="K30" i="4" s="1"/>
  <c r="J31" i="4" s="1"/>
  <c r="K31" i="4" s="1"/>
  <c r="J32" i="4" s="1"/>
  <c r="K32" i="4" s="1"/>
  <c r="J33" i="4" s="1"/>
  <c r="K33" i="4" s="1"/>
  <c r="J34" i="4" s="1"/>
  <c r="K34" i="4" s="1"/>
  <c r="J35" i="4" s="1"/>
  <c r="K35" i="4" s="1"/>
  <c r="J36" i="4" s="1"/>
  <c r="K36" i="4" s="1"/>
  <c r="J37" i="4" s="1"/>
  <c r="K37" i="4" s="1"/>
  <c r="J38" i="4" s="1"/>
  <c r="K38" i="4" s="1"/>
  <c r="J39" i="4" s="1"/>
  <c r="K39" i="4" s="1"/>
  <c r="J40" i="4" s="1"/>
  <c r="K40" i="4" s="1"/>
  <c r="J41" i="4" s="1"/>
  <c r="K41" i="4" s="1"/>
  <c r="J42" i="4" s="1"/>
  <c r="K42" i="4" s="1"/>
  <c r="J43" i="4" s="1"/>
  <c r="K43" i="4" s="1"/>
  <c r="J44" i="4" s="1"/>
  <c r="K44" i="4" s="1"/>
  <c r="J45" i="4" s="1"/>
  <c r="K45" i="4" s="1"/>
  <c r="J46" i="4" s="1"/>
  <c r="K46" i="4" s="1"/>
  <c r="J47" i="4" s="1"/>
  <c r="K47" i="4" s="1"/>
  <c r="J48" i="4" s="1"/>
  <c r="K48" i="4" s="1"/>
  <c r="J49" i="4" s="1"/>
  <c r="K49" i="4" s="1"/>
  <c r="J50" i="4" s="1"/>
  <c r="K50" i="4" s="1"/>
  <c r="J51" i="4" s="1"/>
  <c r="K51" i="4" s="1"/>
  <c r="J52" i="4" s="1"/>
  <c r="K52" i="4" s="1"/>
  <c r="J53" i="4" s="1"/>
  <c r="K53" i="4" s="1"/>
  <c r="J54" i="4" s="1"/>
  <c r="K54" i="4" s="1"/>
  <c r="C25" i="3"/>
  <c r="C26" i="3"/>
  <c r="B26" i="3"/>
  <c r="AA3" i="4" l="1"/>
  <c r="C43" i="3"/>
  <c r="C38" i="3"/>
  <c r="C34" i="3"/>
  <c r="C28" i="3"/>
  <c r="C41" i="3"/>
  <c r="C37" i="3"/>
  <c r="C33" i="3"/>
  <c r="C27" i="3"/>
  <c r="C40" i="3"/>
  <c r="C36" i="3"/>
  <c r="C31" i="3"/>
  <c r="C44" i="3"/>
  <c r="C39" i="3"/>
  <c r="C35" i="3"/>
  <c r="C29" i="3"/>
  <c r="C5" i="3"/>
  <c r="H8" i="3"/>
  <c r="H14" i="3"/>
  <c r="H11" i="3"/>
  <c r="B13" i="3"/>
  <c r="Z4" i="4" l="1"/>
  <c r="AA4" i="4" s="1"/>
  <c r="Z5" i="4" s="1"/>
  <c r="AA5" i="4" s="1"/>
  <c r="Z6" i="4" s="1"/>
  <c r="AA6" i="4" s="1"/>
  <c r="Z7" i="4" s="1"/>
  <c r="AA7" i="4" s="1"/>
  <c r="Z8" i="4" s="1"/>
  <c r="AA8" i="4" s="1"/>
  <c r="Z9" i="4" s="1"/>
  <c r="AA9" i="4" s="1"/>
  <c r="Z10" i="4" s="1"/>
  <c r="AA10" i="4" s="1"/>
  <c r="Z11" i="4" s="1"/>
  <c r="AA11" i="4" s="1"/>
  <c r="Z12" i="4" s="1"/>
  <c r="AA12" i="4" s="1"/>
  <c r="Z13" i="4" s="1"/>
  <c r="AA13" i="4" s="1"/>
  <c r="Z14" i="4" s="1"/>
  <c r="AA14" i="4" s="1"/>
  <c r="Z15" i="4" s="1"/>
  <c r="AA15" i="4" s="1"/>
  <c r="Z16" i="4" s="1"/>
  <c r="AA16" i="4" s="1"/>
  <c r="Z17" i="4" s="1"/>
  <c r="AA17" i="4" s="1"/>
  <c r="Z18" i="4" s="1"/>
  <c r="AA18" i="4" s="1"/>
  <c r="Z19" i="4" s="1"/>
  <c r="AA19" i="4" s="1"/>
  <c r="Z20" i="4" s="1"/>
  <c r="AA20" i="4" s="1"/>
  <c r="Z21" i="4" s="1"/>
  <c r="AA21" i="4" s="1"/>
  <c r="Z22" i="4" s="1"/>
  <c r="AA22" i="4" s="1"/>
  <c r="Z23" i="4" s="1"/>
  <c r="AA23" i="4" s="1"/>
  <c r="Z24" i="4" s="1"/>
  <c r="AA24" i="4" s="1"/>
  <c r="Z25" i="4" s="1"/>
  <c r="AA25" i="4" s="1"/>
  <c r="Z26" i="4" s="1"/>
  <c r="AA26" i="4" s="1"/>
  <c r="Z27" i="4" s="1"/>
  <c r="AA27" i="4" s="1"/>
  <c r="Z28" i="4" s="1"/>
  <c r="AA28" i="4" s="1"/>
  <c r="Z29" i="4" s="1"/>
  <c r="AA29" i="4" s="1"/>
  <c r="Z30" i="4" s="1"/>
  <c r="AA30" i="4" s="1"/>
  <c r="Z31" i="4" s="1"/>
  <c r="AA31" i="4" s="1"/>
  <c r="Z32" i="4" s="1"/>
  <c r="AA32" i="4" s="1"/>
  <c r="Z33" i="4" s="1"/>
  <c r="AA33" i="4" s="1"/>
  <c r="Z34" i="4" s="1"/>
  <c r="AA34" i="4" s="1"/>
  <c r="Z35" i="4" s="1"/>
  <c r="AA35" i="4" s="1"/>
  <c r="Z36" i="4" s="1"/>
  <c r="AA36" i="4" s="1"/>
  <c r="Z37" i="4" s="1"/>
  <c r="AA37" i="4" s="1"/>
  <c r="Z38" i="4" s="1"/>
  <c r="AA38" i="4" s="1"/>
  <c r="Z39" i="4" s="1"/>
  <c r="AA39" i="4" s="1"/>
  <c r="Z40" i="4" s="1"/>
  <c r="AA40" i="4" s="1"/>
  <c r="Z41" i="4" s="1"/>
  <c r="AA41" i="4" s="1"/>
  <c r="Z42" i="4" s="1"/>
  <c r="AA42" i="4" s="1"/>
  <c r="Z43" i="4" s="1"/>
  <c r="AA43" i="4" s="1"/>
  <c r="Z44" i="4" s="1"/>
  <c r="AA44" i="4" s="1"/>
  <c r="Z45" i="4" s="1"/>
  <c r="AA45" i="4" s="1"/>
  <c r="Z46" i="4" s="1"/>
  <c r="AA46" i="4" s="1"/>
  <c r="Z47" i="4" s="1"/>
  <c r="AA47" i="4" s="1"/>
  <c r="Z48" i="4" s="1"/>
  <c r="AA48" i="4" s="1"/>
  <c r="Z49" i="4" s="1"/>
  <c r="AA49" i="4" s="1"/>
  <c r="Z50" i="4" s="1"/>
  <c r="AA50" i="4" s="1"/>
  <c r="Z51" i="4" s="1"/>
  <c r="AA51" i="4" s="1"/>
  <c r="Z52" i="4" s="1"/>
  <c r="AA52" i="4" s="1"/>
  <c r="Z53" i="4" s="1"/>
  <c r="AA53" i="4" s="1"/>
  <c r="Z54" i="4" s="1"/>
  <c r="AA54" i="4" s="1"/>
  <c r="AD3" i="4" s="1"/>
  <c r="C15" i="3"/>
  <c r="C13" i="3"/>
  <c r="C16" i="3"/>
  <c r="C12" i="3"/>
  <c r="C20" i="3"/>
  <c r="C21" i="3"/>
  <c r="C10" i="3"/>
  <c r="E9" i="3"/>
  <c r="F9" i="3"/>
  <c r="G9" i="3"/>
  <c r="C9" i="3"/>
  <c r="C11" i="3"/>
  <c r="C18" i="3"/>
  <c r="C8" i="3"/>
  <c r="C6" i="3"/>
  <c r="C14" i="3"/>
  <c r="C22" i="3"/>
  <c r="C17" i="3"/>
  <c r="C19" i="3"/>
  <c r="D5" i="3"/>
  <c r="C30" i="3"/>
  <c r="C32" i="3"/>
  <c r="AE3" i="4" l="1"/>
  <c r="D15" i="3"/>
  <c r="D12" i="3"/>
  <c r="D16" i="3"/>
  <c r="D13" i="3"/>
  <c r="D18" i="3"/>
  <c r="D20" i="3"/>
  <c r="I9" i="3"/>
  <c r="D17" i="3"/>
  <c r="D6" i="3"/>
  <c r="D10" i="3"/>
  <c r="D11" i="3"/>
  <c r="D19" i="3"/>
  <c r="D22" i="3"/>
  <c r="D21" i="3"/>
  <c r="D14" i="3"/>
  <c r="E5" i="3"/>
  <c r="B9" i="12" l="1"/>
  <c r="B20" i="12"/>
  <c r="C5" i="12"/>
  <c r="B23" i="12"/>
  <c r="B11" i="12"/>
  <c r="B13" i="12"/>
  <c r="B17" i="12"/>
  <c r="B12" i="12"/>
  <c r="B18" i="12"/>
  <c r="B6" i="12"/>
  <c r="B10" i="12"/>
  <c r="B15" i="12"/>
  <c r="B7" i="12"/>
  <c r="B19" i="12"/>
  <c r="B21" i="12"/>
  <c r="B14" i="12"/>
  <c r="B16" i="12"/>
  <c r="B22" i="12"/>
  <c r="AD4" i="4"/>
  <c r="AE4" i="4" s="1"/>
  <c r="AD5" i="4" s="1"/>
  <c r="AE5" i="4" s="1"/>
  <c r="AD6" i="4" s="1"/>
  <c r="AE6" i="4" s="1"/>
  <c r="AD7" i="4" s="1"/>
  <c r="AE7" i="4" s="1"/>
  <c r="AD8" i="4" s="1"/>
  <c r="AE8" i="4" s="1"/>
  <c r="AD9" i="4" s="1"/>
  <c r="AE9" i="4" s="1"/>
  <c r="AD10" i="4" s="1"/>
  <c r="AE10" i="4" s="1"/>
  <c r="AD11" i="4" s="1"/>
  <c r="AE11" i="4" s="1"/>
  <c r="AD12" i="4" s="1"/>
  <c r="AE12" i="4" s="1"/>
  <c r="AD13" i="4" s="1"/>
  <c r="AE13" i="4" s="1"/>
  <c r="AD14" i="4" s="1"/>
  <c r="AE14" i="4" s="1"/>
  <c r="AD15" i="4" s="1"/>
  <c r="AE15" i="4" s="1"/>
  <c r="AD16" i="4" s="1"/>
  <c r="AE16" i="4" s="1"/>
  <c r="AD17" i="4" s="1"/>
  <c r="AE17" i="4" s="1"/>
  <c r="AD18" i="4" s="1"/>
  <c r="AE18" i="4" s="1"/>
  <c r="AD19" i="4" s="1"/>
  <c r="AE19" i="4" s="1"/>
  <c r="AD20" i="4" s="1"/>
  <c r="AE20" i="4" s="1"/>
  <c r="AD21" i="4" s="1"/>
  <c r="AE21" i="4" s="1"/>
  <c r="AD22" i="4" s="1"/>
  <c r="AE22" i="4" s="1"/>
  <c r="AD23" i="4" s="1"/>
  <c r="AE23" i="4" s="1"/>
  <c r="AD24" i="4" s="1"/>
  <c r="AE24" i="4" s="1"/>
  <c r="AD25" i="4" s="1"/>
  <c r="AE25" i="4" s="1"/>
  <c r="AD26" i="4" s="1"/>
  <c r="AE26" i="4" s="1"/>
  <c r="AD27" i="4" s="1"/>
  <c r="AE27" i="4" s="1"/>
  <c r="AD28" i="4" s="1"/>
  <c r="AE28" i="4" s="1"/>
  <c r="AD29" i="4" s="1"/>
  <c r="AE29" i="4" s="1"/>
  <c r="AD30" i="4" s="1"/>
  <c r="AE30" i="4" s="1"/>
  <c r="AD31" i="4" s="1"/>
  <c r="AE31" i="4" s="1"/>
  <c r="AD32" i="4" s="1"/>
  <c r="AE32" i="4" s="1"/>
  <c r="AD33" i="4" s="1"/>
  <c r="AE33" i="4" s="1"/>
  <c r="AD34" i="4" s="1"/>
  <c r="AE34" i="4" s="1"/>
  <c r="AD35" i="4" s="1"/>
  <c r="AE35" i="4" s="1"/>
  <c r="AD36" i="4" s="1"/>
  <c r="AE36" i="4" s="1"/>
  <c r="AD37" i="4" s="1"/>
  <c r="AE37" i="4" s="1"/>
  <c r="AD38" i="4" s="1"/>
  <c r="AE38" i="4" s="1"/>
  <c r="AD39" i="4" s="1"/>
  <c r="AE39" i="4" s="1"/>
  <c r="AD40" i="4" s="1"/>
  <c r="AE40" i="4" s="1"/>
  <c r="AD41" i="4" s="1"/>
  <c r="AE41" i="4" s="1"/>
  <c r="AD42" i="4" s="1"/>
  <c r="AE42" i="4" s="1"/>
  <c r="AD43" i="4" s="1"/>
  <c r="AE43" i="4" s="1"/>
  <c r="AD44" i="4" s="1"/>
  <c r="AE44" i="4" s="1"/>
  <c r="AD45" i="4" s="1"/>
  <c r="AE45" i="4" s="1"/>
  <c r="AD46" i="4" s="1"/>
  <c r="AE46" i="4" s="1"/>
  <c r="AD47" i="4" s="1"/>
  <c r="AE47" i="4" s="1"/>
  <c r="AD48" i="4" s="1"/>
  <c r="AE48" i="4" s="1"/>
  <c r="AD49" i="4" s="1"/>
  <c r="AE49" i="4" s="1"/>
  <c r="AD50" i="4" s="1"/>
  <c r="AE50" i="4" s="1"/>
  <c r="AD51" i="4" s="1"/>
  <c r="AE51" i="4" s="1"/>
  <c r="AD52" i="4" s="1"/>
  <c r="AE52" i="4" s="1"/>
  <c r="AD53" i="4" s="1"/>
  <c r="AE53" i="4" s="1"/>
  <c r="AD54" i="4" s="1"/>
  <c r="AE54" i="4" s="1"/>
  <c r="E19" i="3"/>
  <c r="E13" i="3"/>
  <c r="E15" i="3"/>
  <c r="E12" i="3"/>
  <c r="E22" i="3"/>
  <c r="E17" i="3"/>
  <c r="E6" i="3"/>
  <c r="E18" i="3"/>
  <c r="E10" i="3"/>
  <c r="E8" i="3"/>
  <c r="E14" i="3"/>
  <c r="A23" i="3"/>
  <c r="E21" i="3"/>
  <c r="E20" i="3"/>
  <c r="E11" i="3"/>
  <c r="F5" i="3"/>
  <c r="L12" i="12" l="1"/>
  <c r="L10" i="12"/>
  <c r="H18" i="12"/>
  <c r="H13" i="12"/>
  <c r="H11" i="12"/>
  <c r="L20" i="12"/>
  <c r="L18" i="12"/>
  <c r="H10" i="12"/>
  <c r="H23" i="12"/>
  <c r="L17" i="12"/>
  <c r="L23" i="12"/>
  <c r="L16" i="12"/>
  <c r="H12" i="12"/>
  <c r="H6" i="12"/>
  <c r="H19" i="12"/>
  <c r="H17" i="12"/>
  <c r="L21" i="12"/>
  <c r="H16" i="12"/>
  <c r="H21" i="12"/>
  <c r="L15" i="12"/>
  <c r="L19" i="12"/>
  <c r="H15" i="12"/>
  <c r="L13" i="12"/>
  <c r="L11" i="12"/>
  <c r="H22" i="12"/>
  <c r="H9" i="12"/>
  <c r="L6" i="12"/>
  <c r="H20" i="12"/>
  <c r="L22" i="12"/>
  <c r="L9" i="12"/>
  <c r="H7" i="12"/>
  <c r="C22" i="12"/>
  <c r="C6" i="12"/>
  <c r="C23" i="12"/>
  <c r="C21" i="12"/>
  <c r="C9" i="12"/>
  <c r="C12" i="12"/>
  <c r="C19" i="12"/>
  <c r="C11" i="12"/>
  <c r="C20" i="12"/>
  <c r="C14" i="12"/>
  <c r="C13" i="12"/>
  <c r="C18" i="12"/>
  <c r="C15" i="12"/>
  <c r="D5" i="12"/>
  <c r="C7" i="12"/>
  <c r="C17" i="12"/>
  <c r="C16" i="12"/>
  <c r="C10" i="12"/>
  <c r="F16" i="3"/>
  <c r="F13" i="3"/>
  <c r="F15" i="3"/>
  <c r="F12" i="3"/>
  <c r="F21" i="3"/>
  <c r="F20" i="3"/>
  <c r="F6" i="3"/>
  <c r="F10" i="3"/>
  <c r="F8" i="3"/>
  <c r="F18" i="3"/>
  <c r="F14" i="3"/>
  <c r="F17" i="3"/>
  <c r="F22" i="3"/>
  <c r="F19" i="3"/>
  <c r="G5" i="3"/>
  <c r="D9" i="12" l="1"/>
  <c r="D19" i="12"/>
  <c r="D10" i="12"/>
  <c r="D15" i="12"/>
  <c r="D13" i="12"/>
  <c r="D11" i="12"/>
  <c r="D6" i="12"/>
  <c r="D21" i="12"/>
  <c r="D22" i="12"/>
  <c r="D16" i="12"/>
  <c r="D7" i="12"/>
  <c r="D14" i="12"/>
  <c r="D17" i="12"/>
  <c r="D20" i="12"/>
  <c r="D12" i="12"/>
  <c r="E5" i="12"/>
  <c r="D18" i="12"/>
  <c r="D23" i="12"/>
  <c r="G15" i="3"/>
  <c r="I15" i="3" s="1"/>
  <c r="G12" i="3"/>
  <c r="I12" i="3" s="1"/>
  <c r="G16" i="3"/>
  <c r="G13" i="3"/>
  <c r="I13" i="3" s="1"/>
  <c r="G17" i="3"/>
  <c r="I17" i="3" s="1"/>
  <c r="G14" i="3"/>
  <c r="I14" i="3" s="1"/>
  <c r="G6" i="3"/>
  <c r="I6" i="3" s="1"/>
  <c r="G18" i="3"/>
  <c r="I18" i="3" s="1"/>
  <c r="G10" i="3"/>
  <c r="I10" i="3" s="1"/>
  <c r="G20" i="3"/>
  <c r="I20" i="3" s="1"/>
  <c r="G21" i="3"/>
  <c r="I21" i="3" s="1"/>
  <c r="G19" i="3"/>
  <c r="I19" i="3" s="1"/>
  <c r="G22" i="3"/>
  <c r="I22" i="3" s="1"/>
  <c r="G11" i="3"/>
  <c r="I11" i="3" s="1"/>
  <c r="G8" i="3"/>
  <c r="I8" i="3" s="1"/>
  <c r="E9" i="12" l="1"/>
  <c r="E13" i="12"/>
  <c r="E22" i="12"/>
  <c r="E16" i="12"/>
  <c r="E7" i="12"/>
  <c r="E19" i="12"/>
  <c r="E6" i="12"/>
  <c r="E21" i="12"/>
  <c r="E20" i="12"/>
  <c r="F5" i="12"/>
  <c r="E12" i="12"/>
  <c r="E10" i="12"/>
  <c r="E11" i="12"/>
  <c r="E15" i="12"/>
  <c r="E18" i="12"/>
  <c r="E23" i="12"/>
  <c r="E14" i="12"/>
  <c r="E17" i="12"/>
  <c r="E16" i="3"/>
  <c r="I16" i="3" s="1"/>
  <c r="F9" i="12" l="1"/>
  <c r="F20" i="12"/>
  <c r="F21" i="12"/>
  <c r="F11" i="12"/>
  <c r="F17" i="12"/>
  <c r="F22" i="12"/>
  <c r="F10" i="12"/>
  <c r="G5" i="12"/>
  <c r="F23" i="12"/>
  <c r="F12" i="12"/>
  <c r="F7" i="12"/>
  <c r="F13" i="12"/>
  <c r="F15" i="12"/>
  <c r="F6" i="12"/>
  <c r="F18" i="12"/>
  <c r="F19" i="12"/>
  <c r="F16" i="12"/>
  <c r="F14" i="12"/>
  <c r="G23" i="12" l="1"/>
  <c r="I23" i="12" s="1"/>
  <c r="G13" i="12"/>
  <c r="I13" i="12" s="1"/>
  <c r="G16" i="12"/>
  <c r="I16" i="12" s="1"/>
  <c r="G14" i="12"/>
  <c r="G10" i="12"/>
  <c r="I10" i="12" s="1"/>
  <c r="G15" i="12"/>
  <c r="I15" i="12" s="1"/>
  <c r="G6" i="12"/>
  <c r="I6" i="12" s="1"/>
  <c r="G12" i="12"/>
  <c r="I12" i="12" s="1"/>
  <c r="G17" i="12"/>
  <c r="I17" i="12" s="1"/>
  <c r="G21" i="12"/>
  <c r="I21" i="12" s="1"/>
  <c r="G18" i="12"/>
  <c r="I18" i="12" s="1"/>
  <c r="G9" i="12"/>
  <c r="I9" i="12" s="1"/>
  <c r="G20" i="12"/>
  <c r="I20" i="12" s="1"/>
  <c r="G11" i="12"/>
  <c r="I11" i="12" s="1"/>
  <c r="G7" i="12"/>
  <c r="I7" i="12" s="1"/>
  <c r="G19" i="12"/>
  <c r="I19" i="12" s="1"/>
  <c r="G22" i="12"/>
  <c r="I22" i="12" s="1"/>
  <c r="J14" i="12"/>
  <c r="L14" i="12" s="1"/>
  <c r="H14" i="12"/>
  <c r="C39" i="12"/>
  <c r="I14" i="12" l="1"/>
  <c r="C4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IO4" authorId="0" shapeId="0" xr:uid="{EA77D307-1239-432D-9BBB-BBE17ABA2A5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fruta de la Serena</t>
        </r>
      </text>
    </comment>
    <comment ref="IO10" authorId="0" shapeId="0" xr:uid="{CD38757C-9FE4-4E70-A0AA-6B1663611BA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Papaya Huente</t>
        </r>
      </text>
    </comment>
    <comment ref="IJ13" authorId="0" shapeId="0" xr:uid="{1D725511-050B-4D75-9DF5-A364648FB6C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se inicia nectar con cascara</t>
        </r>
      </text>
    </comment>
    <comment ref="IO17" authorId="0" shapeId="0" xr:uid="{FF8DA414-43A3-43D3-8762-A440ACAACFF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papaya de la Serena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IP4" authorId="0" shapeId="0" xr:uid="{9FE5D5A1-6958-4571-99CB-F9EDB65EF37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fruta de la Serena</t>
        </r>
      </text>
    </comment>
    <comment ref="IP14" authorId="0" shapeId="0" xr:uid="{513DE98A-1D13-436D-930A-F17072323CB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Papaya Huente</t>
        </r>
      </text>
    </comment>
    <comment ref="IK17" authorId="0" shapeId="0" xr:uid="{4BA7ADA7-7CCF-4171-9A31-04D3E1C7E66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se inicia nectar con cascara</t>
        </r>
      </text>
    </comment>
    <comment ref="IP21" authorId="0" shapeId="0" xr:uid="{A5A0A342-44AD-42BA-BE67-D967F3E8E7D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papaya de la Serena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Carvajal</author>
  </authors>
  <commentList>
    <comment ref="B3" authorId="0" shapeId="0" xr:uid="{2508793E-892A-4FDA-9B39-30E9AC9C47D2}">
      <text>
        <r>
          <rPr>
            <b/>
            <sz val="9"/>
            <color indexed="81"/>
            <rFont val="Tahoma"/>
            <family val="2"/>
          </rPr>
          <t>Carlos Carvajal:</t>
        </r>
        <r>
          <rPr>
            <sz val="9"/>
            <color indexed="81"/>
            <rFont val="Tahoma"/>
            <family val="2"/>
          </rPr>
          <t xml:space="preserve">
Ingrese Aquí Semana a Consultar.</t>
        </r>
      </text>
    </comment>
    <comment ref="B26" authorId="0" shapeId="0" xr:uid="{352DA737-4D86-44E5-88C7-06FD95A9F688}">
      <text>
        <r>
          <rPr>
            <b/>
            <sz val="9"/>
            <color indexed="81"/>
            <rFont val="Tahoma"/>
            <family val="2"/>
          </rPr>
          <t>Carlos Carvajal:</t>
        </r>
        <r>
          <rPr>
            <sz val="9"/>
            <color indexed="81"/>
            <rFont val="Tahoma"/>
            <family val="2"/>
          </rPr>
          <t xml:space="preserve">
Ingrese aquí Mes a Consultar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Carvajal</author>
  </authors>
  <commentList>
    <comment ref="B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Carlos Carvajal:</t>
        </r>
        <r>
          <rPr>
            <sz val="9"/>
            <color indexed="81"/>
            <rFont val="Tahoma"/>
            <family val="2"/>
          </rPr>
          <t xml:space="preserve">
Ingrese Aquí Semana a Consultar.</t>
        </r>
      </text>
    </comment>
    <comment ref="B2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Carlos Carvajal:</t>
        </r>
        <r>
          <rPr>
            <sz val="9"/>
            <color indexed="81"/>
            <rFont val="Tahoma"/>
            <family val="2"/>
          </rPr>
          <t xml:space="preserve">
Ingrese aquí Mes a Consultar</t>
        </r>
      </text>
    </comment>
  </commentList>
</comments>
</file>

<file path=xl/sharedStrings.xml><?xml version="1.0" encoding="utf-8"?>
<sst xmlns="http://schemas.openxmlformats.org/spreadsheetml/2006/main" count="733" uniqueCount="180">
  <si>
    <t>Fábrica Papayas</t>
  </si>
  <si>
    <t>Stock Materia prima de huerto (Kgs)</t>
  </si>
  <si>
    <t>Materia prima de huerto (Kgs)</t>
  </si>
  <si>
    <t>Materia prima Elaborada (Kgs)</t>
  </si>
  <si>
    <t xml:space="preserve">descarte </t>
  </si>
  <si>
    <t>venta descarte por calibre</t>
  </si>
  <si>
    <t>Papaya congelada</t>
  </si>
  <si>
    <t>Papaya directa</t>
  </si>
  <si>
    <t>Nectar 250cc</t>
  </si>
  <si>
    <t>Nectar 250cc light</t>
  </si>
  <si>
    <t>Nectar 1 lt</t>
  </si>
  <si>
    <t>Nectar 1 lt ligth</t>
  </si>
  <si>
    <t>Papaya Jugo 1 Kg</t>
  </si>
  <si>
    <t>Papaya Jugo 460 grs</t>
  </si>
  <si>
    <t>Mermelada 1 kg</t>
  </si>
  <si>
    <t>MErmelada 340</t>
  </si>
  <si>
    <t>Papaya Congelada Ditzler (Kg)</t>
  </si>
  <si>
    <t>Papaya Congelada Cubos (Kg)</t>
  </si>
  <si>
    <t>Papaya Directa Confites</t>
  </si>
  <si>
    <t>Jarabe Papayas</t>
  </si>
  <si>
    <t>Papayas Confitadas</t>
  </si>
  <si>
    <t>Trozos Confitados</t>
  </si>
  <si>
    <t>papaya guardada congelada</t>
  </si>
  <si>
    <t>papaya guardada conserva</t>
  </si>
  <si>
    <t>rendimiento pelador</t>
  </si>
  <si>
    <t>rendimiento nectar kg/lt</t>
  </si>
  <si>
    <t>rendimiento papaya al jugo kg/lt</t>
  </si>
  <si>
    <t>rendimiento mermelada kg/lt</t>
  </si>
  <si>
    <t>rendimiento congelada cubos kg/kg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</si>
  <si>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</si>
  <si>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</si>
  <si>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</si>
  <si>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</si>
  <si>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</si>
  <si>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</si>
  <si>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</si>
  <si>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</si>
  <si>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</si>
  <si>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</si>
  <si>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</si>
  <si>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</si>
  <si>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</si>
  <si>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</si>
  <si>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</si>
  <si>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</si>
  <si>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</si>
  <si>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</si>
  <si>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</si>
  <si>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</si>
  <si>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</si>
  <si>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</si>
  <si>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</si>
  <si>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</si>
  <si>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</si>
  <si>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</si>
  <si>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</si>
  <si>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</si>
  <si>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</si>
  <si>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</si>
  <si>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</si>
  <si>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</si>
  <si>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</si>
  <si>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</si>
  <si>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</si>
  <si>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</si>
  <si>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</si>
  <si>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</si>
  <si>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</si>
  <si>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</si>
  <si>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</si>
  <si>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</si>
  <si>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</si>
  <si>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</si>
  <si>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</si>
  <si>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</si>
  <si>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</si>
  <si>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</si>
  <si>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</si>
  <si>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</si>
  <si>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</si>
  <si>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</si>
  <si>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Año 2018</t>
  </si>
  <si>
    <t>Año 2019</t>
  </si>
  <si>
    <t>Sem</t>
  </si>
  <si>
    <t>Desde</t>
  </si>
  <si>
    <t>Hasta</t>
  </si>
  <si>
    <t>Materia Prima Elaborada (Kgs)</t>
  </si>
  <si>
    <t>Producción</t>
  </si>
  <si>
    <t>Nectar 250cc Light</t>
  </si>
  <si>
    <t>Nectar 1 lt Light</t>
  </si>
  <si>
    <t>Mermelada 340 grs</t>
  </si>
  <si>
    <t>Papaya Congelada Partida (Kg)</t>
  </si>
  <si>
    <t>Jarabe Papaya 500 cc</t>
  </si>
  <si>
    <t>Semana a Consultar</t>
  </si>
  <si>
    <t>Semanas</t>
  </si>
  <si>
    <t>Suma Semana</t>
  </si>
  <si>
    <t>Stock Teorico</t>
  </si>
  <si>
    <t>Stock Real</t>
  </si>
  <si>
    <t>Diferencia</t>
  </si>
  <si>
    <t>Mes a Consultar</t>
  </si>
  <si>
    <t>Fábrica Papaya</t>
  </si>
  <si>
    <t>Materia Prima Elaborada</t>
  </si>
  <si>
    <t>Kgs</t>
  </si>
  <si>
    <t>Venta por Calibre</t>
  </si>
  <si>
    <t>%</t>
  </si>
  <si>
    <t>Descarte</t>
  </si>
  <si>
    <t>Producción Nectar 250cc</t>
  </si>
  <si>
    <t>Und</t>
  </si>
  <si>
    <t>Producción Nectar Light 250cc</t>
  </si>
  <si>
    <t>Producción Nectar Light 1 lt</t>
  </si>
  <si>
    <t>Producción Papaya Jugo 1 Kg</t>
  </si>
  <si>
    <t>Producción Papaya Jugo 0,46 Kg</t>
  </si>
  <si>
    <t>Producción Mermelada 1 kl.</t>
  </si>
  <si>
    <t>Producción Mermelada 500 grs.</t>
  </si>
  <si>
    <t>Producción Mermelada 340 grs.</t>
  </si>
  <si>
    <t>Producción Papaya Elab. Congelada</t>
  </si>
  <si>
    <t>Costo Directo Papaya Elaborada (12 meses)</t>
  </si>
  <si>
    <t>$/Kg</t>
  </si>
  <si>
    <t>Costo Total Papaya Elaborada (12 meses)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</si>
  <si>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</si>
  <si>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</si>
  <si>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</si>
  <si>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</si>
  <si>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</si>
  <si>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</si>
  <si>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</si>
  <si>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</si>
  <si>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</si>
  <si>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</si>
  <si>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</si>
  <si>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</si>
  <si>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</si>
  <si>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Año 2020</t>
  </si>
  <si>
    <t>Papaya Jugo Cubitos 150gr</t>
  </si>
  <si>
    <t>Produccion Papaya Jugo cubitos 150gr</t>
  </si>
  <si>
    <t>Papaya Jugo Cubitos 460gr</t>
  </si>
  <si>
    <t>Año 2021</t>
  </si>
  <si>
    <t>Mermelada 340</t>
  </si>
  <si>
    <t>Produccion Papaya Jugo cubitos 460gr</t>
  </si>
  <si>
    <t xml:space="preserve"> </t>
  </si>
  <si>
    <t>Resultados</t>
  </si>
  <si>
    <t>Fechas de Corte</t>
  </si>
  <si>
    <t xml:space="preserve">Desde </t>
  </si>
  <si>
    <t>Kg Procesados</t>
  </si>
  <si>
    <t>Kg Producidos</t>
  </si>
  <si>
    <t>Kilos al Pelador</t>
  </si>
  <si>
    <t>Kilos en la elaboracion de Productos</t>
  </si>
  <si>
    <t>Papaya Directa</t>
  </si>
  <si>
    <t>Papaya Congelada</t>
  </si>
  <si>
    <t>Elaboracion</t>
  </si>
  <si>
    <t>Produccion</t>
  </si>
  <si>
    <t>(que se hizo con la fruta)</t>
  </si>
  <si>
    <t>% Rendimiento</t>
  </si>
  <si>
    <t>Fruta</t>
  </si>
  <si>
    <t>Papayas Confitadas (280g)</t>
  </si>
  <si>
    <t>Trozos Confitados (200g)</t>
  </si>
  <si>
    <t xml:space="preserve">papayas trozos confitado 200 grs </t>
  </si>
  <si>
    <t>papaya confitada 280 grs</t>
  </si>
  <si>
    <t xml:space="preserve">produccion nectar 1 lt </t>
  </si>
  <si>
    <t>Semana 53</t>
  </si>
  <si>
    <t xml:space="preserve">    </t>
  </si>
  <si>
    <t>Año 2022</t>
  </si>
  <si>
    <t>Stock Inicial</t>
  </si>
  <si>
    <t>Fruta Comprada y Elaborada (Kgs)</t>
  </si>
  <si>
    <t>Materia prima externa (Kgs)</t>
  </si>
  <si>
    <t>Año 2023</t>
  </si>
  <si>
    <t>Nectar 300cc</t>
  </si>
  <si>
    <t>Nectar 300cc light</t>
  </si>
  <si>
    <t>Mermelada 825gr</t>
  </si>
  <si>
    <t>Mermelada 440gr</t>
  </si>
  <si>
    <t>Año 2024</t>
  </si>
  <si>
    <t>Nectar 300cc Light</t>
  </si>
  <si>
    <t>Producción Nectar 300cc</t>
  </si>
  <si>
    <t>Producción Nectar Light 300cc</t>
  </si>
  <si>
    <t>Producción Mermelada 825gr.</t>
  </si>
  <si>
    <t>Producción Mermelada 440gr.</t>
  </si>
  <si>
    <t>Producción Mermelada 500gr.</t>
  </si>
  <si>
    <t>Año 2025</t>
  </si>
  <si>
    <t>Año 2026</t>
  </si>
  <si>
    <t>546-J.U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</si>
</sst>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* #,##0.00_-;\-* #,##0.00_-;_-* &quot;-&quot;??_-;_-@_-"/>
    <numFmt numFmtId="165" formatCode="_-* #,##0\ _€_-;\-* #,##0\ _€_-;_-* &quot;-&quot;\ _€_-;_-@_-"/>
    <numFmt numFmtId="166" formatCode="_-* #,##0.00\ _€_-;\-* #,##0.00\ _€_-;_-* &quot;-&quot;??\ _€_-;_-@_-"/>
    <numFmt numFmtId="167" formatCode="_-* #,##0.00\ _$_-;\-* #,##0.00\ _$_-;_-* &quot;-&quot;??\ _$_-;_-@_-"/>
    <numFmt numFmtId="168" formatCode="_-* #,##0.00\ _P_t_s_-;\-* #,##0.00\ _P_t_s_-;_-* &quot;-&quot;??\ _P_t_s_-;_-@_-"/>
    <numFmt numFmtId="169" formatCode="dd\-mm\-yy;@"/>
    <numFmt numFmtId="170" formatCode="_-* #,##0\ _P_t_s_-;\-* #,##0\ _P_t_s_-;_-* &quot;-&quot;\ _P_t_s_-;_-@_-"/>
    <numFmt numFmtId="171" formatCode="_-* #,##0\ _P_t_s_-;\-* #,##0\ _P_t_s_-;_-* &quot;-&quot;??\ _P_t_s_-;_-@_-"/>
    <numFmt numFmtId="172" formatCode="0.0%"/>
    <numFmt numFmtId="173" formatCode="#,##0_ ;[Red]\-#,##0\ "/>
    <numFmt numFmtId="174" formatCode="_-&quot;$&quot;\ * #,##0.00_-;\-&quot;$&quot;\ * #,##0.00_-;_-&quot;$&quot;\ * &quot;-&quot;??_-;_-@_-"/>
    <numFmt numFmtId="175" formatCode="_-[$€-2]\ * #,##0.00_-;\-[$€-2]\ * #,##0.00_-;_-[$€-2]\ * &quot;-&quot;??_-"/>
    <numFmt numFmtId="176" formatCode="_-* #,##0.0\ _€_-;\-* #,##0.0\ _€_-;_-* &quot;-&quot;??\ _€_-;_-@_-"/>
    <numFmt numFmtId="177" formatCode="_-* #,##0\ _$_-;\-* #,##0\ _$_-;_-* &quot;-&quot;??\ _$_-;_-@_-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0"/>
      <name val="Arial"/>
      <family val="2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Times New Roman"/>
      <family val="1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4"/>
      <color theme="6" tint="0.3999755851924192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67">
    <xf numFmtId="0" fontId="0" fillId="0" borderId="0"/>
    <xf numFmtId="0" fontId="2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1" fillId="0" borderId="0"/>
    <xf numFmtId="168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15" fillId="11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168" fontId="3" fillId="0" borderId="0" applyFont="0" applyFill="0" applyBorder="0" applyAlignment="0" applyProtection="0"/>
    <xf numFmtId="0" fontId="15" fillId="13" borderId="0" applyNumberFormat="0" applyBorder="0" applyAlignment="0" applyProtection="0"/>
    <xf numFmtId="0" fontId="15" fillId="9" borderId="0" applyNumberFormat="0" applyBorder="0" applyAlignment="0" applyProtection="0"/>
    <xf numFmtId="168" fontId="3" fillId="0" borderId="0" applyFont="0" applyFill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2" borderId="0" applyNumberFormat="0" applyBorder="0" applyAlignment="0" applyProtection="0"/>
    <xf numFmtId="0" fontId="15" fillId="15" borderId="0" applyNumberFormat="0" applyBorder="0" applyAlignment="0" applyProtection="0"/>
    <xf numFmtId="0" fontId="15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9" fillId="11" borderId="0" applyNumberFormat="0" applyBorder="0" applyAlignment="0" applyProtection="0"/>
    <xf numFmtId="0" fontId="20" fillId="23" borderId="43" applyNumberFormat="0" applyAlignment="0" applyProtection="0"/>
    <xf numFmtId="0" fontId="21" fillId="24" borderId="44" applyNumberFormat="0" applyAlignment="0" applyProtection="0"/>
    <xf numFmtId="0" fontId="22" fillId="0" borderId="45" applyNumberFormat="0" applyFill="0" applyAlignment="0" applyProtection="0"/>
    <xf numFmtId="0" fontId="23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8" borderId="0" applyNumberFormat="0" applyBorder="0" applyAlignment="0" applyProtection="0"/>
    <xf numFmtId="0" fontId="24" fillId="14" borderId="43" applyNumberFormat="0" applyAlignment="0" applyProtection="0"/>
    <xf numFmtId="175" fontId="3" fillId="0" borderId="0" applyFont="0" applyFill="0" applyBorder="0" applyAlignment="0" applyProtection="0"/>
    <xf numFmtId="0" fontId="25" fillId="10" borderId="0" applyNumberFormat="0" applyBorder="0" applyAlignment="0" applyProtection="0"/>
    <xf numFmtId="166" fontId="15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26" fillId="29" borderId="0" applyNumberFormat="0" applyBorder="0" applyAlignment="0" applyProtection="0"/>
    <xf numFmtId="0" fontId="3" fillId="30" borderId="46" applyNumberFormat="0" applyFon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7" fillId="23" borderId="47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1" fillId="0" borderId="48" applyNumberFormat="0" applyFill="0" applyAlignment="0" applyProtection="0"/>
    <xf numFmtId="0" fontId="32" fillId="0" borderId="49" applyNumberFormat="0" applyFill="0" applyAlignment="0" applyProtection="0"/>
    <xf numFmtId="0" fontId="23" fillId="0" borderId="50" applyNumberFormat="0" applyFill="0" applyAlignment="0" applyProtection="0"/>
    <xf numFmtId="0" fontId="30" fillId="0" borderId="0" applyNumberFormat="0" applyFill="0" applyBorder="0" applyAlignment="0" applyProtection="0"/>
    <xf numFmtId="0" fontId="17" fillId="0" borderId="51" applyNumberFormat="0" applyFill="0" applyAlignment="0" applyProtection="0"/>
  </cellStyleXfs>
  <cellXfs count="264">
    <xf numFmtId="0" fontId="0" fillId="0" borderId="0" xfId="0"/>
    <xf numFmtId="0" fontId="2" fillId="0" borderId="0" xfId="1"/>
    <xf numFmtId="1" fontId="4" fillId="0" borderId="0" xfId="1" applyNumberFormat="1" applyFont="1" applyAlignment="1">
      <alignment horizontal="center"/>
    </xf>
    <xf numFmtId="1" fontId="5" fillId="2" borderId="1" xfId="1" applyNumberFormat="1" applyFont="1" applyFill="1" applyBorder="1" applyAlignment="1">
      <alignment horizontal="center"/>
    </xf>
    <xf numFmtId="1" fontId="4" fillId="0" borderId="2" xfId="1" applyNumberFormat="1" applyFont="1" applyBorder="1" applyAlignment="1">
      <alignment horizontal="left"/>
    </xf>
    <xf numFmtId="1" fontId="4" fillId="0" borderId="5" xfId="1" applyNumberFormat="1" applyFont="1" applyBorder="1" applyAlignment="1">
      <alignment horizontal="left"/>
    </xf>
    <xf numFmtId="1" fontId="4" fillId="0" borderId="13" xfId="1" applyNumberFormat="1" applyFont="1" applyBorder="1" applyAlignment="1">
      <alignment horizontal="left"/>
    </xf>
    <xf numFmtId="1" fontId="4" fillId="0" borderId="3" xfId="1" applyNumberFormat="1" applyFont="1" applyBorder="1" applyAlignment="1">
      <alignment horizontal="left"/>
    </xf>
    <xf numFmtId="1" fontId="5" fillId="2" borderId="14" xfId="1" applyNumberFormat="1" applyFont="1" applyFill="1" applyBorder="1" applyAlignment="1">
      <alignment horizontal="center"/>
    </xf>
    <xf numFmtId="1" fontId="4" fillId="0" borderId="15" xfId="1" applyNumberFormat="1" applyFont="1" applyBorder="1" applyAlignment="1">
      <alignment horizontal="center"/>
    </xf>
    <xf numFmtId="1" fontId="4" fillId="0" borderId="16" xfId="1" applyNumberFormat="1" applyFont="1" applyBorder="1" applyAlignment="1">
      <alignment horizontal="center"/>
    </xf>
    <xf numFmtId="2" fontId="4" fillId="0" borderId="9" xfId="1" applyNumberFormat="1" applyFont="1" applyBorder="1" applyAlignment="1">
      <alignment horizontal="center"/>
    </xf>
    <xf numFmtId="9" fontId="4" fillId="0" borderId="11" xfId="1" applyNumberFormat="1" applyFont="1" applyBorder="1" applyAlignment="1">
      <alignment horizontal="center"/>
    </xf>
    <xf numFmtId="1" fontId="4" fillId="0" borderId="8" xfId="1" applyNumberFormat="1" applyFont="1" applyBorder="1" applyAlignment="1">
      <alignment horizontal="center"/>
    </xf>
    <xf numFmtId="2" fontId="4" fillId="0" borderId="12" xfId="1" applyNumberFormat="1" applyFont="1" applyBorder="1" applyAlignment="1">
      <alignment horizontal="center"/>
    </xf>
    <xf numFmtId="1" fontId="4" fillId="0" borderId="7" xfId="1" applyNumberFormat="1" applyFont="1" applyBorder="1" applyAlignment="1">
      <alignment horizontal="center"/>
    </xf>
    <xf numFmtId="1" fontId="4" fillId="0" borderId="4" xfId="1" applyNumberFormat="1" applyFont="1" applyBorder="1" applyAlignment="1">
      <alignment horizontal="center"/>
    </xf>
    <xf numFmtId="1" fontId="4" fillId="0" borderId="6" xfId="1" applyNumberFormat="1" applyFont="1" applyBorder="1" applyAlignment="1">
      <alignment horizontal="center"/>
    </xf>
    <xf numFmtId="1" fontId="6" fillId="0" borderId="3" xfId="1" applyNumberFormat="1" applyFont="1" applyBorder="1" applyAlignment="1">
      <alignment horizontal="center"/>
    </xf>
    <xf numFmtId="1" fontId="4" fillId="0" borderId="10" xfId="1" applyNumberFormat="1" applyFont="1" applyBorder="1" applyAlignment="1">
      <alignment horizontal="center"/>
    </xf>
    <xf numFmtId="1" fontId="6" fillId="3" borderId="2" xfId="1" applyNumberFormat="1" applyFont="1" applyFill="1" applyBorder="1" applyAlignment="1">
      <alignment horizontal="center"/>
    </xf>
    <xf numFmtId="1" fontId="6" fillId="3" borderId="3" xfId="1" applyNumberFormat="1" applyFont="1" applyFill="1" applyBorder="1" applyAlignment="1">
      <alignment horizontal="center"/>
    </xf>
    <xf numFmtId="1" fontId="6" fillId="0" borderId="13" xfId="1" applyNumberFormat="1" applyFont="1" applyBorder="1" applyAlignment="1">
      <alignment horizontal="center"/>
    </xf>
    <xf numFmtId="1" fontId="6" fillId="3" borderId="5" xfId="1" applyNumberFormat="1" applyFont="1" applyFill="1" applyBorder="1" applyAlignment="1">
      <alignment horizontal="center"/>
    </xf>
    <xf numFmtId="1" fontId="6" fillId="0" borderId="21" xfId="1" applyNumberFormat="1" applyFont="1" applyBorder="1" applyAlignment="1">
      <alignment horizontal="center"/>
    </xf>
    <xf numFmtId="1" fontId="6" fillId="0" borderId="4" xfId="1" applyNumberFormat="1" applyFont="1" applyBorder="1" applyAlignment="1">
      <alignment horizontal="center"/>
    </xf>
    <xf numFmtId="1" fontId="4" fillId="0" borderId="3" xfId="1" applyNumberFormat="1" applyFont="1" applyBorder="1" applyAlignment="1">
      <alignment horizontal="center"/>
    </xf>
    <xf numFmtId="169" fontId="7" fillId="2" borderId="1" xfId="1" applyNumberFormat="1" applyFont="1" applyFill="1" applyBorder="1" applyAlignment="1">
      <alignment horizontal="center"/>
    </xf>
    <xf numFmtId="0" fontId="3" fillId="0" borderId="0" xfId="5"/>
    <xf numFmtId="0" fontId="8" fillId="4" borderId="0" xfId="5" applyFont="1" applyFill="1" applyAlignment="1">
      <alignment horizontal="center" vertical="center"/>
    </xf>
    <xf numFmtId="14" fontId="3" fillId="0" borderId="9" xfId="5" applyNumberFormat="1" applyBorder="1"/>
    <xf numFmtId="0" fontId="8" fillId="4" borderId="9" xfId="5" applyFont="1" applyFill="1" applyBorder="1" applyAlignment="1">
      <alignment horizontal="center"/>
    </xf>
    <xf numFmtId="165" fontId="8" fillId="0" borderId="0" xfId="153" applyFont="1" applyFill="1" applyAlignment="1">
      <alignment horizontal="center"/>
    </xf>
    <xf numFmtId="14" fontId="3" fillId="0" borderId="42" xfId="5" applyNumberFormat="1" applyBorder="1"/>
    <xf numFmtId="0" fontId="0" fillId="0" borderId="0" xfId="0" applyProtection="1">
      <protection hidden="1"/>
    </xf>
    <xf numFmtId="0" fontId="14" fillId="5" borderId="33" xfId="0" applyFont="1" applyFill="1" applyBorder="1" applyAlignment="1" applyProtection="1">
      <alignment horizontal="center"/>
      <protection hidden="1"/>
    </xf>
    <xf numFmtId="0" fontId="14" fillId="5" borderId="30" xfId="0" applyFont="1" applyFill="1" applyBorder="1" applyAlignment="1" applyProtection="1">
      <alignment horizontal="center"/>
      <protection locked="0" hidden="1"/>
    </xf>
    <xf numFmtId="14" fontId="9" fillId="0" borderId="0" xfId="0" applyNumberFormat="1" applyFont="1" applyProtection="1">
      <protection hidden="1"/>
    </xf>
    <xf numFmtId="1" fontId="12" fillId="2" borderId="1" xfId="1" applyNumberFormat="1" applyFont="1" applyFill="1" applyBorder="1" applyAlignment="1" applyProtection="1">
      <alignment horizontal="center" wrapText="1"/>
      <protection hidden="1"/>
    </xf>
    <xf numFmtId="14" fontId="13" fillId="2" borderId="1" xfId="1" applyNumberFormat="1" applyFont="1" applyFill="1" applyBorder="1" applyAlignment="1" applyProtection="1">
      <alignment horizontal="center" wrapText="1"/>
      <protection hidden="1"/>
    </xf>
    <xf numFmtId="1" fontId="5" fillId="2" borderId="1" xfId="1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4" fillId="0" borderId="2" xfId="1" applyFont="1" applyBorder="1" applyAlignment="1" applyProtection="1">
      <alignment horizontal="left"/>
      <protection hidden="1"/>
    </xf>
    <xf numFmtId="171" fontId="4" fillId="0" borderId="38" xfId="199" applyNumberFormat="1" applyFont="1" applyFill="1" applyBorder="1" applyAlignment="1" applyProtection="1">
      <alignment horizontal="center"/>
      <protection hidden="1"/>
    </xf>
    <xf numFmtId="171" fontId="4" fillId="0" borderId="32" xfId="199" applyNumberFormat="1" applyFont="1" applyFill="1" applyBorder="1" applyAlignment="1" applyProtection="1">
      <alignment horizontal="center"/>
      <protection hidden="1"/>
    </xf>
    <xf numFmtId="173" fontId="0" fillId="0" borderId="32" xfId="0" applyNumberFormat="1" applyBorder="1" applyProtection="1">
      <protection hidden="1"/>
    </xf>
    <xf numFmtId="173" fontId="0" fillId="0" borderId="39" xfId="0" applyNumberFormat="1" applyBorder="1" applyProtection="1">
      <protection hidden="1"/>
    </xf>
    <xf numFmtId="0" fontId="4" fillId="0" borderId="3" xfId="1" applyFont="1" applyBorder="1" applyAlignment="1" applyProtection="1">
      <alignment horizontal="center"/>
      <protection hidden="1"/>
    </xf>
    <xf numFmtId="0" fontId="4" fillId="0" borderId="4" xfId="1" applyFont="1" applyBorder="1" applyAlignment="1" applyProtection="1">
      <alignment horizontal="center"/>
      <protection hidden="1"/>
    </xf>
    <xf numFmtId="171" fontId="4" fillId="0" borderId="23" xfId="199" applyNumberFormat="1" applyFont="1" applyFill="1" applyBorder="1" applyAlignment="1" applyProtection="1">
      <alignment horizontal="center"/>
      <protection hidden="1"/>
    </xf>
    <xf numFmtId="171" fontId="4" fillId="0" borderId="12" xfId="199" applyNumberFormat="1" applyFont="1" applyFill="1" applyBorder="1" applyAlignment="1" applyProtection="1">
      <alignment horizontal="center"/>
      <protection hidden="1"/>
    </xf>
    <xf numFmtId="0" fontId="14" fillId="5" borderId="30" xfId="0" applyFont="1" applyFill="1" applyBorder="1" applyAlignment="1" applyProtection="1">
      <alignment horizontal="center"/>
      <protection hidden="1"/>
    </xf>
    <xf numFmtId="1" fontId="12" fillId="2" borderId="29" xfId="1" applyNumberFormat="1" applyFont="1" applyFill="1" applyBorder="1" applyAlignment="1" applyProtection="1">
      <alignment horizontal="center" wrapText="1"/>
      <protection hidden="1"/>
    </xf>
    <xf numFmtId="1" fontId="33" fillId="2" borderId="29" xfId="1" applyNumberFormat="1" applyFont="1" applyFill="1" applyBorder="1" applyAlignment="1" applyProtection="1">
      <alignment horizontal="center" wrapText="1"/>
      <protection hidden="1"/>
    </xf>
    <xf numFmtId="0" fontId="16" fillId="0" borderId="40" xfId="0" applyFont="1" applyBorder="1" applyAlignment="1" applyProtection="1">
      <alignment horizontal="center"/>
      <protection hidden="1"/>
    </xf>
    <xf numFmtId="0" fontId="16" fillId="0" borderId="41" xfId="0" applyFont="1" applyBorder="1" applyAlignment="1" applyProtection="1">
      <alignment horizontal="center"/>
      <protection hidden="1"/>
    </xf>
    <xf numFmtId="177" fontId="0" fillId="0" borderId="41" xfId="307" applyNumberFormat="1" applyFont="1" applyBorder="1" applyAlignment="1" applyProtection="1">
      <alignment horizontal="center"/>
      <protection hidden="1"/>
    </xf>
    <xf numFmtId="0" fontId="16" fillId="0" borderId="34" xfId="0" applyFont="1" applyBorder="1" applyAlignment="1" applyProtection="1">
      <alignment horizontal="center"/>
      <protection hidden="1"/>
    </xf>
    <xf numFmtId="0" fontId="16" fillId="0" borderId="28" xfId="0" applyFont="1" applyBorder="1" applyAlignment="1" applyProtection="1">
      <alignment horizontal="center"/>
      <protection hidden="1"/>
    </xf>
    <xf numFmtId="177" fontId="0" fillId="0" borderId="28" xfId="307" applyNumberFormat="1" applyFont="1" applyBorder="1" applyAlignment="1" applyProtection="1">
      <alignment horizontal="center"/>
      <protection hidden="1"/>
    </xf>
    <xf numFmtId="9" fontId="0" fillId="0" borderId="28" xfId="308" applyFont="1" applyBorder="1" applyAlignment="1" applyProtection="1">
      <alignment horizontal="center"/>
      <protection hidden="1"/>
    </xf>
    <xf numFmtId="0" fontId="0" fillId="0" borderId="28" xfId="0" applyBorder="1" applyAlignment="1" applyProtection="1">
      <alignment horizontal="center"/>
      <protection hidden="1"/>
    </xf>
    <xf numFmtId="172" fontId="0" fillId="0" borderId="28" xfId="308" applyNumberFormat="1" applyFont="1" applyBorder="1" applyAlignment="1" applyProtection="1">
      <alignment horizontal="center"/>
      <protection hidden="1"/>
    </xf>
    <xf numFmtId="176" fontId="16" fillId="0" borderId="34" xfId="345" applyNumberFormat="1" applyFont="1" applyFill="1" applyBorder="1" applyAlignment="1" applyProtection="1">
      <alignment horizontal="center"/>
      <protection hidden="1"/>
    </xf>
    <xf numFmtId="176" fontId="16" fillId="0" borderId="28" xfId="345" applyNumberFormat="1" applyFont="1" applyFill="1" applyBorder="1" applyAlignment="1" applyProtection="1">
      <alignment horizontal="center"/>
      <protection hidden="1"/>
    </xf>
    <xf numFmtId="176" fontId="16" fillId="0" borderId="36" xfId="345" applyNumberFormat="1" applyFont="1" applyFill="1" applyBorder="1" applyAlignment="1" applyProtection="1">
      <alignment horizontal="center"/>
      <protection hidden="1"/>
    </xf>
    <xf numFmtId="176" fontId="16" fillId="0" borderId="31" xfId="345" applyNumberFormat="1" applyFont="1" applyFill="1" applyBorder="1" applyAlignment="1" applyProtection="1">
      <alignment horizontal="center"/>
      <protection hidden="1"/>
    </xf>
    <xf numFmtId="0" fontId="0" fillId="0" borderId="31" xfId="0" applyBorder="1" applyAlignment="1" applyProtection="1">
      <alignment horizontal="center"/>
      <protection hidden="1"/>
    </xf>
    <xf numFmtId="1" fontId="4" fillId="0" borderId="10" xfId="1" applyNumberFormat="1" applyFont="1" applyBorder="1" applyAlignment="1" applyProtection="1">
      <alignment horizontal="center"/>
      <protection locked="0"/>
    </xf>
    <xf numFmtId="1" fontId="4" fillId="0" borderId="2" xfId="2" applyNumberFormat="1" applyFont="1" applyBorder="1" applyAlignment="1" applyProtection="1">
      <alignment horizontal="center"/>
      <protection locked="0"/>
    </xf>
    <xf numFmtId="1" fontId="4" fillId="0" borderId="6" xfId="1" applyNumberFormat="1" applyFont="1" applyBorder="1" applyAlignment="1" applyProtection="1">
      <alignment horizontal="center"/>
      <protection locked="0"/>
    </xf>
    <xf numFmtId="1" fontId="4" fillId="0" borderId="5" xfId="1" applyNumberFormat="1" applyFont="1" applyBorder="1" applyAlignment="1" applyProtection="1">
      <alignment horizontal="center"/>
      <protection locked="0"/>
    </xf>
    <xf numFmtId="1" fontId="4" fillId="0" borderId="3" xfId="1" applyNumberFormat="1" applyFont="1" applyBorder="1" applyAlignment="1" applyProtection="1">
      <alignment horizontal="center"/>
      <protection locked="0"/>
    </xf>
    <xf numFmtId="1" fontId="4" fillId="0" borderId="7" xfId="1" applyNumberFormat="1" applyFont="1" applyBorder="1" applyAlignment="1" applyProtection="1">
      <alignment horizontal="center"/>
      <protection locked="0"/>
    </xf>
    <xf numFmtId="1" fontId="4" fillId="0" borderId="4" xfId="1" applyNumberFormat="1" applyFont="1" applyBorder="1" applyAlignment="1" applyProtection="1">
      <alignment horizontal="center"/>
      <protection locked="0"/>
    </xf>
    <xf numFmtId="1" fontId="4" fillId="0" borderId="0" xfId="1" applyNumberFormat="1" applyFont="1" applyProtection="1">
      <protection locked="0"/>
    </xf>
    <xf numFmtId="1" fontId="4" fillId="0" borderId="0" xfId="1" applyNumberFormat="1" applyFont="1" applyAlignment="1" applyProtection="1">
      <alignment horizontal="center"/>
      <protection locked="0"/>
    </xf>
    <xf numFmtId="1" fontId="4" fillId="3" borderId="22" xfId="2" applyNumberFormat="1" applyFont="1" applyFill="1" applyBorder="1" applyAlignment="1" applyProtection="1">
      <alignment horizontal="center"/>
      <protection locked="0"/>
    </xf>
    <xf numFmtId="1" fontId="6" fillId="3" borderId="11" xfId="1" applyNumberFormat="1" applyFont="1" applyFill="1" applyBorder="1" applyAlignment="1" applyProtection="1">
      <alignment horizontal="center"/>
      <protection locked="0"/>
    </xf>
    <xf numFmtId="1" fontId="4" fillId="3" borderId="19" xfId="2" applyNumberFormat="1" applyFont="1" applyFill="1" applyBorder="1" applyAlignment="1" applyProtection="1">
      <alignment horizontal="center"/>
      <protection locked="0"/>
    </xf>
    <xf numFmtId="1" fontId="6" fillId="3" borderId="9" xfId="1" applyNumberFormat="1" applyFont="1" applyFill="1" applyBorder="1" applyAlignment="1" applyProtection="1">
      <alignment horizontal="center"/>
      <protection locked="0"/>
    </xf>
    <xf numFmtId="1" fontId="4" fillId="0" borderId="19" xfId="1" applyNumberFormat="1" applyFont="1" applyBorder="1" applyAlignment="1" applyProtection="1">
      <alignment horizontal="center"/>
      <protection locked="0"/>
    </xf>
    <xf numFmtId="1" fontId="6" fillId="0" borderId="9" xfId="1" applyNumberFormat="1" applyFont="1" applyBorder="1" applyAlignment="1" applyProtection="1">
      <alignment horizontal="center"/>
      <protection locked="0"/>
    </xf>
    <xf numFmtId="1" fontId="6" fillId="0" borderId="17" xfId="1" applyNumberFormat="1" applyFont="1" applyBorder="1" applyAlignment="1" applyProtection="1">
      <alignment horizontal="center"/>
      <protection locked="0"/>
    </xf>
    <xf numFmtId="1" fontId="4" fillId="0" borderId="23" xfId="1" applyNumberFormat="1" applyFont="1" applyBorder="1" applyAlignment="1" applyProtection="1">
      <alignment horizontal="center"/>
      <protection locked="0"/>
    </xf>
    <xf numFmtId="1" fontId="6" fillId="0" borderId="20" xfId="1" applyNumberFormat="1" applyFont="1" applyBorder="1" applyAlignment="1" applyProtection="1">
      <alignment horizontal="center"/>
      <protection locked="0"/>
    </xf>
    <xf numFmtId="1" fontId="4" fillId="3" borderId="25" xfId="2" applyNumberFormat="1" applyFont="1" applyFill="1" applyBorder="1" applyAlignment="1" applyProtection="1">
      <alignment horizontal="center"/>
      <protection locked="0"/>
    </xf>
    <xf numFmtId="1" fontId="6" fillId="3" borderId="18" xfId="1" applyNumberFormat="1" applyFont="1" applyFill="1" applyBorder="1" applyAlignment="1" applyProtection="1">
      <alignment horizontal="center"/>
      <protection locked="0"/>
    </xf>
    <xf numFmtId="1" fontId="4" fillId="0" borderId="24" xfId="1" applyNumberFormat="1" applyFont="1" applyBorder="1" applyAlignment="1" applyProtection="1">
      <alignment horizontal="center"/>
      <protection locked="0"/>
    </xf>
    <xf numFmtId="1" fontId="6" fillId="3" borderId="22" xfId="1" applyNumberFormat="1" applyFont="1" applyFill="1" applyBorder="1" applyAlignment="1" applyProtection="1">
      <alignment horizontal="center"/>
      <protection locked="0"/>
    </xf>
    <xf numFmtId="1" fontId="4" fillId="0" borderId="9" xfId="1" applyNumberFormat="1" applyFont="1" applyBorder="1" applyAlignment="1" applyProtection="1">
      <alignment horizontal="center"/>
      <protection locked="0"/>
    </xf>
    <xf numFmtId="1" fontId="4" fillId="0" borderId="12" xfId="1" applyNumberFormat="1" applyFont="1" applyBorder="1" applyAlignment="1" applyProtection="1">
      <alignment horizontal="center"/>
      <protection locked="0"/>
    </xf>
    <xf numFmtId="1" fontId="4" fillId="0" borderId="26" xfId="2" applyNumberFormat="1" applyFont="1" applyBorder="1" applyAlignment="1" applyProtection="1">
      <alignment horizontal="center"/>
      <protection locked="0"/>
    </xf>
    <xf numFmtId="1" fontId="4" fillId="0" borderId="11" xfId="1" applyNumberFormat="1" applyFont="1" applyBorder="1" applyAlignment="1" applyProtection="1">
      <alignment horizontal="center"/>
      <protection locked="0"/>
    </xf>
    <xf numFmtId="1" fontId="4" fillId="0" borderId="27" xfId="2" applyNumberFormat="1" applyFont="1" applyBorder="1" applyAlignment="1" applyProtection="1">
      <alignment horizontal="center"/>
      <protection locked="0"/>
    </xf>
    <xf numFmtId="1" fontId="4" fillId="0" borderId="2" xfId="1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" fontId="4" fillId="0" borderId="5" xfId="1" applyNumberFormat="1" applyFont="1" applyBorder="1" applyAlignment="1" applyProtection="1">
      <alignment horizontal="left"/>
      <protection locked="0"/>
    </xf>
    <xf numFmtId="1" fontId="4" fillId="0" borderId="3" xfId="1" applyNumberFormat="1" applyFont="1" applyBorder="1" applyAlignment="1" applyProtection="1">
      <alignment horizontal="left"/>
      <protection locked="0"/>
    </xf>
    <xf numFmtId="1" fontId="4" fillId="0" borderId="13" xfId="1" applyNumberFormat="1" applyFont="1" applyBorder="1" applyAlignment="1" applyProtection="1">
      <alignment horizontal="left"/>
      <protection locked="0"/>
    </xf>
    <xf numFmtId="1" fontId="6" fillId="3" borderId="2" xfId="1" applyNumberFormat="1" applyFont="1" applyFill="1" applyBorder="1" applyAlignment="1" applyProtection="1">
      <alignment horizontal="center"/>
      <protection locked="0"/>
    </xf>
    <xf numFmtId="1" fontId="6" fillId="3" borderId="3" xfId="1" applyNumberFormat="1" applyFont="1" applyFill="1" applyBorder="1" applyAlignment="1" applyProtection="1">
      <alignment horizontal="center"/>
      <protection locked="0"/>
    </xf>
    <xf numFmtId="1" fontId="6" fillId="0" borderId="3" xfId="1" applyNumberFormat="1" applyFont="1" applyBorder="1" applyAlignment="1" applyProtection="1">
      <alignment horizontal="center"/>
      <protection locked="0"/>
    </xf>
    <xf numFmtId="1" fontId="6" fillId="0" borderId="13" xfId="1" applyNumberFormat="1" applyFont="1" applyBorder="1" applyAlignment="1" applyProtection="1">
      <alignment horizontal="center"/>
      <protection locked="0"/>
    </xf>
    <xf numFmtId="1" fontId="6" fillId="3" borderId="5" xfId="1" applyNumberFormat="1" applyFont="1" applyFill="1" applyBorder="1" applyAlignment="1" applyProtection="1">
      <alignment horizontal="center"/>
      <protection locked="0"/>
    </xf>
    <xf numFmtId="1" fontId="6" fillId="0" borderId="21" xfId="1" applyNumberFormat="1" applyFont="1" applyBorder="1" applyAlignment="1" applyProtection="1">
      <alignment horizontal="center"/>
      <protection locked="0"/>
    </xf>
    <xf numFmtId="1" fontId="6" fillId="0" borderId="4" xfId="1" applyNumberFormat="1" applyFont="1" applyBorder="1" applyAlignment="1" applyProtection="1">
      <alignment horizontal="center"/>
      <protection locked="0"/>
    </xf>
    <xf numFmtId="1" fontId="14" fillId="5" borderId="35" xfId="0" applyNumberFormat="1" applyFont="1" applyFill="1" applyBorder="1" applyAlignment="1" applyProtection="1">
      <alignment horizontal="center"/>
      <protection locked="0" hidden="1"/>
    </xf>
    <xf numFmtId="14" fontId="3" fillId="0" borderId="0" xfId="5" applyNumberFormat="1"/>
    <xf numFmtId="0" fontId="8" fillId="0" borderId="0" xfId="5" applyFont="1" applyAlignment="1">
      <alignment horizontal="center" vertical="center"/>
    </xf>
    <xf numFmtId="1" fontId="0" fillId="0" borderId="0" xfId="0" applyNumberFormat="1" applyProtection="1">
      <protection locked="0"/>
    </xf>
    <xf numFmtId="1" fontId="0" fillId="0" borderId="0" xfId="0" applyNumberFormat="1" applyProtection="1">
      <protection hidden="1"/>
    </xf>
    <xf numFmtId="1" fontId="4" fillId="31" borderId="0" xfId="98" applyNumberFormat="1" applyFont="1" applyFill="1" applyAlignment="1">
      <alignment horizontal="center"/>
    </xf>
    <xf numFmtId="1" fontId="6" fillId="3" borderId="32" xfId="1" applyNumberFormat="1" applyFont="1" applyFill="1" applyBorder="1" applyAlignment="1" applyProtection="1">
      <alignment horizontal="center"/>
      <protection locked="0"/>
    </xf>
    <xf numFmtId="1" fontId="4" fillId="0" borderId="0" xfId="98" applyNumberFormat="1" applyFont="1" applyAlignment="1">
      <alignment horizontal="center"/>
    </xf>
    <xf numFmtId="1" fontId="5" fillId="2" borderId="1" xfId="98" applyNumberFormat="1" applyFont="1" applyFill="1" applyBorder="1" applyAlignment="1">
      <alignment horizontal="center"/>
    </xf>
    <xf numFmtId="1" fontId="4" fillId="8" borderId="0" xfId="98" applyNumberFormat="1" applyFont="1" applyFill="1" applyAlignment="1">
      <alignment horizontal="center"/>
    </xf>
    <xf numFmtId="1" fontId="4" fillId="7" borderId="0" xfId="98" applyNumberFormat="1" applyFont="1" applyFill="1" applyAlignment="1">
      <alignment horizontal="center"/>
    </xf>
    <xf numFmtId="1" fontId="4" fillId="6" borderId="0" xfId="98" applyNumberFormat="1" applyFont="1" applyFill="1" applyAlignment="1">
      <alignment horizontal="center"/>
    </xf>
    <xf numFmtId="171" fontId="4" fillId="0" borderId="19" xfId="199" applyNumberFormat="1" applyFont="1" applyFill="1" applyBorder="1" applyAlignment="1" applyProtection="1">
      <alignment horizontal="center"/>
      <protection hidden="1"/>
    </xf>
    <xf numFmtId="171" fontId="4" fillId="0" borderId="9" xfId="199" applyNumberFormat="1" applyFont="1" applyFill="1" applyBorder="1" applyAlignment="1" applyProtection="1">
      <alignment horizontal="center"/>
      <protection hidden="1"/>
    </xf>
    <xf numFmtId="173" fontId="0" fillId="0" borderId="9" xfId="0" applyNumberFormat="1" applyBorder="1" applyProtection="1">
      <protection hidden="1"/>
    </xf>
    <xf numFmtId="173" fontId="0" fillId="0" borderId="37" xfId="0" applyNumberFormat="1" applyBorder="1" applyProtection="1">
      <protection hidden="1"/>
    </xf>
    <xf numFmtId="0" fontId="34" fillId="0" borderId="0" xfId="0" applyFont="1"/>
    <xf numFmtId="169" fontId="5" fillId="2" borderId="1" xfId="98" applyNumberFormat="1" applyFont="1" applyFill="1" applyBorder="1" applyAlignment="1">
      <alignment horizontal="center"/>
    </xf>
    <xf numFmtId="0" fontId="0" fillId="0" borderId="0" xfId="0" applyAlignment="1" applyProtection="1">
      <alignment wrapText="1"/>
      <protection locked="0"/>
    </xf>
    <xf numFmtId="1" fontId="6" fillId="0" borderId="17" xfId="1" quotePrefix="1" applyNumberFormat="1" applyFont="1" applyBorder="1" applyAlignment="1" applyProtection="1">
      <alignment horizontal="center"/>
      <protection locked="0"/>
    </xf>
    <xf numFmtId="1" fontId="4" fillId="0" borderId="25" xfId="1" applyNumberFormat="1" applyFont="1" applyBorder="1" applyAlignment="1" applyProtection="1">
      <alignment horizontal="center"/>
      <protection locked="0"/>
    </xf>
    <xf numFmtId="1" fontId="6" fillId="0" borderId="32" xfId="1" applyNumberFormat="1" applyFont="1" applyBorder="1" applyAlignment="1" applyProtection="1">
      <alignment horizontal="center"/>
      <protection locked="0"/>
    </xf>
    <xf numFmtId="1" fontId="6" fillId="0" borderId="5" xfId="1" applyNumberFormat="1" applyFont="1" applyBorder="1" applyAlignment="1" applyProtection="1">
      <alignment horizontal="center"/>
      <protection locked="0"/>
    </xf>
    <xf numFmtId="0" fontId="0" fillId="0" borderId="52" xfId="0" applyBorder="1" applyProtection="1">
      <protection locked="0"/>
    </xf>
    <xf numFmtId="1" fontId="0" fillId="0" borderId="52" xfId="0" applyNumberFormat="1" applyBorder="1" applyProtection="1">
      <protection locked="0"/>
    </xf>
    <xf numFmtId="0" fontId="34" fillId="0" borderId="53" xfId="0" applyFont="1" applyBorder="1" applyAlignment="1" applyProtection="1">
      <alignment horizontal="center"/>
      <protection locked="0"/>
    </xf>
    <xf numFmtId="0" fontId="34" fillId="0" borderId="12" xfId="0" applyFont="1" applyBorder="1" applyAlignment="1" applyProtection="1">
      <alignment horizontal="center"/>
      <protection locked="0"/>
    </xf>
    <xf numFmtId="0" fontId="34" fillId="0" borderId="0" xfId="0" applyFont="1" applyAlignment="1" applyProtection="1">
      <alignment horizontal="center" wrapText="1"/>
      <protection locked="0"/>
    </xf>
    <xf numFmtId="0" fontId="34" fillId="0" borderId="54" xfId="0" applyFont="1" applyBorder="1" applyAlignment="1" applyProtection="1">
      <alignment horizontal="center"/>
      <protection locked="0"/>
    </xf>
    <xf numFmtId="9" fontId="4" fillId="0" borderId="11" xfId="98" applyNumberFormat="1" applyFont="1" applyBorder="1" applyAlignment="1">
      <alignment horizontal="center"/>
    </xf>
    <xf numFmtId="2" fontId="4" fillId="0" borderId="9" xfId="98" applyNumberFormat="1" applyFont="1" applyBorder="1" applyAlignment="1">
      <alignment horizontal="center"/>
    </xf>
    <xf numFmtId="2" fontId="4" fillId="0" borderId="12" xfId="98" applyNumberFormat="1" applyFont="1" applyBorder="1" applyAlignment="1">
      <alignment horizontal="center"/>
    </xf>
    <xf numFmtId="1" fontId="6" fillId="5" borderId="11" xfId="1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right"/>
    </xf>
    <xf numFmtId="14" fontId="0" fillId="0" borderId="0" xfId="0" applyNumberFormat="1"/>
    <xf numFmtId="177" fontId="6" fillId="3" borderId="2" xfId="307" applyNumberFormat="1" applyFont="1" applyFill="1" applyBorder="1" applyAlignment="1">
      <alignment horizontal="center"/>
    </xf>
    <xf numFmtId="177" fontId="6" fillId="3" borderId="3" xfId="307" applyNumberFormat="1" applyFont="1" applyFill="1" applyBorder="1" applyAlignment="1">
      <alignment horizontal="center"/>
    </xf>
    <xf numFmtId="177" fontId="6" fillId="0" borderId="3" xfId="307" applyNumberFormat="1" applyFont="1" applyFill="1" applyBorder="1" applyAlignment="1">
      <alignment horizontal="center"/>
    </xf>
    <xf numFmtId="177" fontId="6" fillId="0" borderId="13" xfId="307" applyNumberFormat="1" applyFont="1" applyFill="1" applyBorder="1" applyAlignment="1">
      <alignment horizontal="center"/>
    </xf>
    <xf numFmtId="177" fontId="6" fillId="3" borderId="5" xfId="307" applyNumberFormat="1" applyFont="1" applyFill="1" applyBorder="1" applyAlignment="1">
      <alignment horizontal="center"/>
    </xf>
    <xf numFmtId="177" fontId="6" fillId="0" borderId="13" xfId="307" applyNumberFormat="1" applyFont="1" applyFill="1" applyBorder="1" applyAlignment="1" applyProtection="1">
      <alignment horizontal="center"/>
      <protection locked="0"/>
    </xf>
    <xf numFmtId="177" fontId="6" fillId="0" borderId="4" xfId="307" applyNumberFormat="1" applyFont="1" applyFill="1" applyBorder="1" applyAlignment="1">
      <alignment horizontal="center"/>
    </xf>
    <xf numFmtId="177" fontId="6" fillId="0" borderId="21" xfId="307" applyNumberFormat="1" applyFont="1" applyFill="1" applyBorder="1" applyAlignment="1">
      <alignment horizontal="center"/>
    </xf>
    <xf numFmtId="177" fontId="4" fillId="0" borderId="3" xfId="307" applyNumberFormat="1" applyFont="1" applyBorder="1" applyAlignment="1">
      <alignment horizontal="center"/>
    </xf>
    <xf numFmtId="177" fontId="4" fillId="0" borderId="4" xfId="307" applyNumberFormat="1" applyFont="1" applyBorder="1" applyAlignment="1">
      <alignment horizontal="center"/>
    </xf>
    <xf numFmtId="177" fontId="0" fillId="0" borderId="0" xfId="0" applyNumberFormat="1"/>
    <xf numFmtId="177" fontId="0" fillId="0" borderId="0" xfId="307" applyNumberFormat="1" applyFont="1"/>
    <xf numFmtId="9" fontId="0" fillId="0" borderId="0" xfId="308" applyFont="1"/>
    <xf numFmtId="14" fontId="0" fillId="0" borderId="0" xfId="0" applyNumberFormat="1" applyAlignment="1">
      <alignment horizontal="left"/>
    </xf>
    <xf numFmtId="1" fontId="6" fillId="5" borderId="18" xfId="1" applyNumberFormat="1" applyFont="1" applyFill="1" applyBorder="1" applyAlignment="1" applyProtection="1">
      <alignment horizontal="center"/>
      <protection locked="0"/>
    </xf>
    <xf numFmtId="171" fontId="4" fillId="0" borderId="55" xfId="199" applyNumberFormat="1" applyFont="1" applyFill="1" applyBorder="1" applyAlignment="1" applyProtection="1">
      <alignment horizontal="center"/>
      <protection hidden="1"/>
    </xf>
    <xf numFmtId="0" fontId="4" fillId="0" borderId="2" xfId="1" applyFont="1" applyBorder="1" applyAlignment="1" applyProtection="1">
      <alignment horizontal="center"/>
      <protection hidden="1"/>
    </xf>
    <xf numFmtId="171" fontId="4" fillId="0" borderId="22" xfId="199" applyNumberFormat="1" applyFont="1" applyFill="1" applyBorder="1" applyAlignment="1" applyProtection="1">
      <alignment horizontal="center"/>
      <protection hidden="1"/>
    </xf>
    <xf numFmtId="171" fontId="4" fillId="0" borderId="11" xfId="199" applyNumberFormat="1" applyFont="1" applyFill="1" applyBorder="1" applyAlignment="1" applyProtection="1">
      <alignment horizontal="center"/>
      <protection hidden="1"/>
    </xf>
    <xf numFmtId="173" fontId="0" fillId="0" borderId="11" xfId="0" applyNumberFormat="1" applyBorder="1" applyProtection="1">
      <protection hidden="1"/>
    </xf>
    <xf numFmtId="173" fontId="0" fillId="0" borderId="56" xfId="0" applyNumberFormat="1" applyBorder="1" applyProtection="1">
      <protection hidden="1"/>
    </xf>
    <xf numFmtId="173" fontId="0" fillId="0" borderId="12" xfId="0" applyNumberFormat="1" applyBorder="1" applyProtection="1">
      <protection hidden="1"/>
    </xf>
    <xf numFmtId="173" fontId="0" fillId="0" borderId="57" xfId="0" applyNumberFormat="1" applyBorder="1" applyProtection="1">
      <protection hidden="1"/>
    </xf>
    <xf numFmtId="0" fontId="0" fillId="0" borderId="11" xfId="0" applyBorder="1" applyProtection="1">
      <protection hidden="1"/>
    </xf>
    <xf numFmtId="177" fontId="4" fillId="0" borderId="19" xfId="307" applyNumberFormat="1" applyFont="1" applyBorder="1" applyAlignment="1" applyProtection="1">
      <alignment horizontal="center"/>
      <protection locked="0"/>
    </xf>
    <xf numFmtId="177" fontId="6" fillId="0" borderId="9" xfId="307" applyNumberFormat="1" applyFont="1" applyFill="1" applyBorder="1" applyAlignment="1" applyProtection="1">
      <alignment horizontal="center"/>
      <protection locked="0"/>
    </xf>
    <xf numFmtId="177" fontId="6" fillId="0" borderId="9" xfId="307" applyNumberFormat="1" applyFont="1" applyBorder="1" applyAlignment="1" applyProtection="1">
      <alignment horizontal="center"/>
      <protection locked="0"/>
    </xf>
    <xf numFmtId="177" fontId="6" fillId="0" borderId="20" xfId="307" applyNumberFormat="1" applyFont="1" applyFill="1" applyBorder="1" applyAlignment="1" applyProtection="1">
      <alignment horizontal="center"/>
      <protection locked="0"/>
    </xf>
    <xf numFmtId="177" fontId="6" fillId="0" borderId="3" xfId="307" applyNumberFormat="1" applyFont="1" applyFill="1" applyBorder="1" applyAlignment="1" applyProtection="1">
      <alignment horizontal="center"/>
      <protection locked="0"/>
    </xf>
    <xf numFmtId="177" fontId="0" fillId="0" borderId="0" xfId="307" applyNumberFormat="1" applyFont="1" applyProtection="1">
      <protection locked="0"/>
    </xf>
    <xf numFmtId="1" fontId="0" fillId="0" borderId="28" xfId="307" applyNumberFormat="1" applyFont="1" applyBorder="1" applyAlignment="1" applyProtection="1">
      <alignment horizontal="center"/>
      <protection hidden="1"/>
    </xf>
    <xf numFmtId="1" fontId="6" fillId="0" borderId="0" xfId="1" applyNumberFormat="1" applyFont="1" applyAlignment="1" applyProtection="1">
      <alignment horizontal="center"/>
      <protection locked="0"/>
    </xf>
    <xf numFmtId="177" fontId="0" fillId="0" borderId="11" xfId="307" applyNumberFormat="1" applyFont="1" applyBorder="1" applyProtection="1">
      <protection hidden="1"/>
    </xf>
    <xf numFmtId="177" fontId="0" fillId="0" borderId="32" xfId="307" applyNumberFormat="1" applyFont="1" applyBorder="1" applyProtection="1">
      <protection hidden="1"/>
    </xf>
    <xf numFmtId="177" fontId="0" fillId="0" borderId="9" xfId="307" applyNumberFormat="1" applyFont="1" applyBorder="1" applyProtection="1">
      <protection hidden="1"/>
    </xf>
    <xf numFmtId="177" fontId="0" fillId="0" borderId="12" xfId="307" applyNumberFormat="1" applyFont="1" applyBorder="1" applyProtection="1">
      <protection hidden="1"/>
    </xf>
    <xf numFmtId="1" fontId="0" fillId="0" borderId="11" xfId="0" applyNumberFormat="1" applyBorder="1" applyProtection="1">
      <protection hidden="1"/>
    </xf>
    <xf numFmtId="1" fontId="0" fillId="0" borderId="9" xfId="0" applyNumberFormat="1" applyBorder="1" applyProtection="1">
      <protection hidden="1"/>
    </xf>
    <xf numFmtId="0" fontId="0" fillId="0" borderId="61" xfId="0" applyBorder="1" applyProtection="1">
      <protection hidden="1"/>
    </xf>
    <xf numFmtId="0" fontId="0" fillId="0" borderId="14" xfId="0" applyBorder="1" applyProtection="1">
      <protection hidden="1"/>
    </xf>
    <xf numFmtId="171" fontId="4" fillId="0" borderId="61" xfId="199" applyNumberFormat="1" applyFont="1" applyFill="1" applyBorder="1" applyAlignment="1" applyProtection="1">
      <alignment horizontal="center"/>
      <protection hidden="1"/>
    </xf>
    <xf numFmtId="1" fontId="4" fillId="0" borderId="2" xfId="2" applyNumberFormat="1" applyFont="1" applyBorder="1" applyAlignment="1" applyProtection="1">
      <alignment horizontal="center"/>
    </xf>
    <xf numFmtId="1" fontId="6" fillId="0" borderId="9" xfId="1" applyNumberFormat="1" applyFont="1" applyBorder="1" applyAlignment="1" applyProtection="1">
      <alignment horizontal="center" wrapText="1"/>
      <protection locked="0"/>
    </xf>
    <xf numFmtId="0" fontId="4" fillId="0" borderId="5" xfId="1" applyFont="1" applyBorder="1" applyAlignment="1" applyProtection="1">
      <alignment horizontal="center"/>
      <protection hidden="1"/>
    </xf>
    <xf numFmtId="171" fontId="4" fillId="0" borderId="25" xfId="199" applyNumberFormat="1" applyFont="1" applyFill="1" applyBorder="1" applyAlignment="1" applyProtection="1">
      <alignment horizontal="center"/>
      <protection hidden="1"/>
    </xf>
    <xf numFmtId="14" fontId="13" fillId="2" borderId="29" xfId="1" applyNumberFormat="1" applyFont="1" applyFill="1" applyBorder="1" applyAlignment="1" applyProtection="1">
      <alignment horizontal="center" wrapText="1"/>
      <protection hidden="1"/>
    </xf>
    <xf numFmtId="1" fontId="5" fillId="2" borderId="29" xfId="1" applyNumberFormat="1" applyFont="1" applyFill="1" applyBorder="1" applyAlignment="1" applyProtection="1">
      <alignment horizontal="center" vertical="center" wrapText="1"/>
      <protection hidden="1"/>
    </xf>
    <xf numFmtId="1" fontId="6" fillId="33" borderId="9" xfId="1" applyNumberFormat="1" applyFont="1" applyFill="1" applyBorder="1" applyAlignment="1" applyProtection="1">
      <alignment horizontal="center"/>
      <protection locked="0"/>
    </xf>
    <xf numFmtId="169" fontId="7" fillId="2" borderId="1" xfId="98" applyNumberFormat="1" applyFont="1" applyFill="1" applyBorder="1" applyAlignment="1" applyProtection="1">
      <alignment horizontal="center"/>
      <protection hidden="1"/>
    </xf>
    <xf numFmtId="1" fontId="35" fillId="0" borderId="5" xfId="1" applyNumberFormat="1" applyFont="1" applyBorder="1" applyAlignment="1" applyProtection="1">
      <alignment horizontal="center"/>
      <protection locked="0"/>
    </xf>
    <xf numFmtId="1" fontId="5" fillId="0" borderId="1" xfId="98" applyNumberFormat="1" applyFont="1" applyBorder="1" applyAlignment="1">
      <alignment horizontal="center"/>
    </xf>
    <xf numFmtId="169" fontId="7" fillId="0" borderId="1" xfId="98" applyNumberFormat="1" applyFont="1" applyBorder="1" applyAlignment="1" applyProtection="1">
      <alignment horizontal="center"/>
      <protection hidden="1"/>
    </xf>
    <xf numFmtId="169" fontId="5" fillId="0" borderId="1" xfId="98" applyNumberFormat="1" applyFont="1" applyBorder="1" applyAlignment="1">
      <alignment horizontal="center"/>
    </xf>
    <xf numFmtId="1" fontId="35" fillId="0" borderId="4" xfId="1" applyNumberFormat="1" applyFont="1" applyBorder="1" applyAlignment="1" applyProtection="1">
      <alignment horizontal="center"/>
      <protection locked="0"/>
    </xf>
    <xf numFmtId="0" fontId="8" fillId="4" borderId="0" xfId="0" applyFont="1" applyFill="1" applyAlignment="1">
      <alignment horizontal="center" vertical="center"/>
    </xf>
    <xf numFmtId="0" fontId="8" fillId="4" borderId="9" xfId="9" applyFont="1" applyFill="1" applyBorder="1" applyAlignment="1">
      <alignment horizontal="center"/>
    </xf>
    <xf numFmtId="14" fontId="3" fillId="0" borderId="9" xfId="9" applyNumberFormat="1" applyBorder="1"/>
    <xf numFmtId="0" fontId="0" fillId="0" borderId="28" xfId="308" applyNumberFormat="1" applyFont="1" applyBorder="1" applyAlignment="1" applyProtection="1">
      <alignment horizontal="center"/>
      <protection hidden="1"/>
    </xf>
    <xf numFmtId="1" fontId="4" fillId="32" borderId="0" xfId="1" applyNumberFormat="1" applyFont="1" applyFill="1" applyAlignment="1" applyProtection="1">
      <alignment horizontal="center"/>
      <protection hidden="1"/>
    </xf>
    <xf numFmtId="1" fontId="4" fillId="6" borderId="0" xfId="1" applyNumberFormat="1" applyFont="1" applyFill="1" applyAlignment="1" applyProtection="1">
      <alignment horizontal="center"/>
      <protection hidden="1"/>
    </xf>
    <xf numFmtId="14" fontId="2" fillId="0" borderId="9" xfId="5" applyNumberFormat="1" applyFont="1" applyBorder="1"/>
    <xf numFmtId="1" fontId="4" fillId="0" borderId="10" xfId="1" applyNumberFormat="1" applyFont="1" applyBorder="1" applyAlignment="1" applyProtection="1">
      <alignment horizontal="left"/>
      <protection locked="0"/>
    </xf>
    <xf numFmtId="1" fontId="4" fillId="0" borderId="58" xfId="1" applyNumberFormat="1" applyFont="1" applyBorder="1" applyAlignment="1" applyProtection="1">
      <alignment horizontal="left"/>
      <protection locked="0"/>
    </xf>
    <xf numFmtId="1" fontId="5" fillId="0" borderId="1" xfId="98" applyNumberFormat="1" applyFont="1" applyBorder="1" applyAlignment="1" applyProtection="1">
      <alignment horizontal="center"/>
      <protection locked="0"/>
    </xf>
    <xf numFmtId="1" fontId="4" fillId="0" borderId="6" xfId="1" applyNumberFormat="1" applyFont="1" applyBorder="1" applyAlignment="1" applyProtection="1">
      <alignment horizontal="left"/>
      <protection locked="0"/>
    </xf>
    <xf numFmtId="1" fontId="4" fillId="0" borderId="36" xfId="1" applyNumberFormat="1" applyFont="1" applyBorder="1" applyAlignment="1" applyProtection="1">
      <alignment horizontal="left"/>
      <protection locked="0"/>
    </xf>
    <xf numFmtId="1" fontId="6" fillId="3" borderId="59" xfId="1" applyNumberFormat="1" applyFont="1" applyFill="1" applyBorder="1" applyAlignment="1" applyProtection="1">
      <alignment horizontal="center"/>
      <protection locked="0"/>
    </xf>
    <xf numFmtId="1" fontId="6" fillId="3" borderId="60" xfId="1" applyNumberFormat="1" applyFont="1" applyFill="1" applyBorder="1" applyAlignment="1" applyProtection="1">
      <alignment horizontal="center"/>
      <protection locked="0"/>
    </xf>
    <xf numFmtId="1" fontId="6" fillId="0" borderId="60" xfId="1" applyNumberFormat="1" applyFont="1" applyBorder="1" applyAlignment="1" applyProtection="1">
      <alignment horizontal="center"/>
      <protection locked="0"/>
    </xf>
    <xf numFmtId="1" fontId="6" fillId="3" borderId="52" xfId="1" applyNumberFormat="1" applyFont="1" applyFill="1" applyBorder="1" applyAlignment="1" applyProtection="1">
      <alignment horizontal="center"/>
      <protection locked="0"/>
    </xf>
    <xf numFmtId="177" fontId="6" fillId="0" borderId="60" xfId="307" applyNumberFormat="1" applyFont="1" applyFill="1" applyBorder="1" applyAlignment="1" applyProtection="1">
      <alignment horizontal="center"/>
      <protection locked="0"/>
    </xf>
    <xf numFmtId="1" fontId="6" fillId="0" borderId="54" xfId="1" applyNumberFormat="1" applyFont="1" applyBorder="1" applyAlignment="1" applyProtection="1">
      <alignment horizontal="center"/>
      <protection locked="0"/>
    </xf>
    <xf numFmtId="1" fontId="6" fillId="0" borderId="62" xfId="1" applyNumberFormat="1" applyFont="1" applyBorder="1" applyAlignment="1" applyProtection="1">
      <alignment horizontal="center"/>
      <protection locked="0"/>
    </xf>
    <xf numFmtId="1" fontId="4" fillId="0" borderId="60" xfId="1" applyNumberFormat="1" applyFont="1" applyBorder="1" applyAlignment="1" applyProtection="1">
      <alignment horizontal="center"/>
      <protection locked="0"/>
    </xf>
    <xf numFmtId="1" fontId="4" fillId="0" borderId="54" xfId="1" applyNumberFormat="1" applyFont="1" applyBorder="1" applyAlignment="1" applyProtection="1">
      <alignment horizontal="center"/>
      <protection locked="0"/>
    </xf>
    <xf numFmtId="1" fontId="4" fillId="0" borderId="59" xfId="1" applyNumberFormat="1" applyFont="1" applyBorder="1" applyAlignment="1" applyProtection="1">
      <alignment horizontal="center"/>
      <protection locked="0"/>
    </xf>
    <xf numFmtId="0" fontId="2" fillId="0" borderId="0" xfId="1" applyProtection="1">
      <protection locked="0"/>
    </xf>
    <xf numFmtId="14" fontId="36" fillId="0" borderId="0" xfId="0" applyNumberFormat="1" applyFont="1" applyProtection="1">
      <protection hidden="1"/>
    </xf>
    <xf numFmtId="1" fontId="4" fillId="5" borderId="5" xfId="1" applyNumberFormat="1" applyFont="1" applyFill="1" applyBorder="1" applyAlignment="1" applyProtection="1">
      <alignment horizontal="center"/>
      <protection locked="0"/>
    </xf>
    <xf numFmtId="1" fontId="4" fillId="34" borderId="3" xfId="1" applyNumberFormat="1" applyFont="1" applyFill="1" applyBorder="1" applyAlignment="1" applyProtection="1">
      <alignment horizontal="center"/>
      <protection locked="0"/>
    </xf>
    <xf numFmtId="1" fontId="6" fillId="33" borderId="17" xfId="1" applyNumberFormat="1" applyFont="1" applyFill="1" applyBorder="1" applyAlignment="1" applyProtection="1">
      <alignment horizontal="center"/>
      <protection locked="0"/>
    </xf>
    <xf numFmtId="1" fontId="4" fillId="8" borderId="3" xfId="1" applyNumberFormat="1" applyFont="1" applyFill="1" applyBorder="1" applyAlignment="1" applyProtection="1">
      <alignment horizontal="center"/>
      <protection locked="0"/>
    </xf>
    <xf numFmtId="1" fontId="4" fillId="3" borderId="0" xfId="1" applyNumberFormat="1" applyFont="1" applyFill="1" applyAlignment="1" applyProtection="1">
      <alignment horizontal="center"/>
      <protection locked="0"/>
    </xf>
    <xf numFmtId="1" fontId="4" fillId="33" borderId="9" xfId="1" applyNumberFormat="1" applyFont="1" applyFill="1" applyBorder="1" applyAlignment="1" applyProtection="1">
      <alignment horizontal="center"/>
      <protection locked="0"/>
    </xf>
    <xf numFmtId="1" fontId="4" fillId="33" borderId="3" xfId="1" applyNumberFormat="1" applyFont="1" applyFill="1" applyBorder="1" applyAlignment="1">
      <alignment horizontal="center"/>
    </xf>
    <xf numFmtId="1" fontId="4" fillId="33" borderId="60" xfId="1" applyNumberFormat="1" applyFont="1" applyFill="1" applyBorder="1" applyAlignment="1" applyProtection="1">
      <alignment horizontal="center"/>
      <protection locked="0"/>
    </xf>
    <xf numFmtId="1" fontId="4" fillId="33" borderId="19" xfId="1" applyNumberFormat="1" applyFont="1" applyFill="1" applyBorder="1" applyAlignment="1" applyProtection="1">
      <alignment horizontal="center"/>
      <protection locked="0"/>
    </xf>
    <xf numFmtId="0" fontId="0" fillId="33" borderId="0" xfId="0" applyFill="1"/>
    <xf numFmtId="1" fontId="4" fillId="33" borderId="12" xfId="1" applyNumberFormat="1" applyFont="1" applyFill="1" applyBorder="1" applyAlignment="1" applyProtection="1">
      <alignment horizontal="center"/>
      <protection locked="0"/>
    </xf>
    <xf numFmtId="1" fontId="4" fillId="33" borderId="4" xfId="1" applyNumberFormat="1" applyFont="1" applyFill="1" applyBorder="1" applyAlignment="1">
      <alignment horizontal="center"/>
    </xf>
    <xf numFmtId="1" fontId="4" fillId="33" borderId="54" xfId="1" applyNumberFormat="1" applyFont="1" applyFill="1" applyBorder="1" applyAlignment="1" applyProtection="1">
      <alignment horizontal="center"/>
      <protection locked="0"/>
    </xf>
    <xf numFmtId="1" fontId="4" fillId="33" borderId="23" xfId="1" applyNumberFormat="1" applyFont="1" applyFill="1" applyBorder="1" applyAlignment="1" applyProtection="1">
      <alignment horizontal="center"/>
      <protection locked="0"/>
    </xf>
    <xf numFmtId="1" fontId="6" fillId="3" borderId="20" xfId="1" applyNumberFormat="1" applyFont="1" applyFill="1" applyBorder="1" applyAlignment="1" applyProtection="1">
      <alignment horizontal="center"/>
      <protection locked="0"/>
    </xf>
    <xf numFmtId="1" fontId="4" fillId="33" borderId="0" xfId="1" applyNumberFormat="1" applyFont="1" applyFill="1" applyAlignment="1" applyProtection="1">
      <alignment horizontal="center"/>
      <protection locked="0"/>
    </xf>
    <xf numFmtId="1" fontId="4" fillId="35" borderId="0" xfId="1" applyNumberFormat="1" applyFont="1" applyFill="1" applyAlignment="1" applyProtection="1">
      <alignment horizontal="center"/>
      <protection hidden="1"/>
    </xf>
    <xf numFmtId="1" fontId="4" fillId="36" borderId="5" xfId="1" applyNumberFormat="1" applyFont="1" applyFill="1" applyBorder="1" applyAlignment="1" applyProtection="1">
      <alignment horizontal="center"/>
      <protection locked="0"/>
    </xf>
    <xf numFmtId="1" fontId="4" fillId="36" borderId="3" xfId="1" applyNumberFormat="1" applyFont="1" applyFill="1" applyBorder="1" applyAlignment="1" applyProtection="1">
      <alignment horizontal="center"/>
      <protection locked="0"/>
    </xf>
    <xf numFmtId="1" fontId="4" fillId="33" borderId="3" xfId="1" applyNumberFormat="1" applyFont="1" applyFill="1" applyBorder="1" applyAlignment="1" applyProtection="1">
      <alignment horizontal="center"/>
      <protection locked="0"/>
    </xf>
    <xf numFmtId="1" fontId="4" fillId="33" borderId="5" xfId="1" applyNumberFormat="1" applyFont="1" applyFill="1" applyBorder="1" applyAlignment="1" applyProtection="1">
      <alignment horizontal="center"/>
      <protection locked="0"/>
    </xf>
    <xf numFmtId="1" fontId="4" fillId="37" borderId="3" xfId="1" applyNumberFormat="1" applyFont="1" applyFill="1" applyBorder="1" applyAlignment="1" applyProtection="1">
      <alignment horizontal="center"/>
      <protection locked="0"/>
    </xf>
    <xf numFmtId="1" fontId="6" fillId="33" borderId="3" xfId="1" applyNumberFormat="1" applyFont="1" applyFill="1" applyBorder="1" applyAlignment="1">
      <alignment horizontal="center"/>
    </xf>
    <xf numFmtId="1" fontId="6" fillId="33" borderId="60" xfId="1" applyNumberFormat="1" applyFont="1" applyFill="1" applyBorder="1" applyAlignment="1" applyProtection="1">
      <alignment horizontal="center"/>
      <protection locked="0"/>
    </xf>
    <xf numFmtId="1" fontId="4" fillId="33" borderId="19" xfId="2" applyNumberFormat="1" applyFont="1" applyFill="1" applyBorder="1" applyAlignment="1" applyProtection="1">
      <alignment horizontal="center"/>
      <protection locked="0"/>
    </xf>
    <xf numFmtId="0" fontId="0" fillId="33" borderId="0" xfId="0" applyFill="1" applyAlignment="1" applyProtection="1">
      <alignment wrapText="1"/>
      <protection locked="0"/>
    </xf>
    <xf numFmtId="1" fontId="6" fillId="33" borderId="2" xfId="1" applyNumberFormat="1" applyFont="1" applyFill="1" applyBorder="1" applyAlignment="1">
      <alignment horizontal="center"/>
    </xf>
    <xf numFmtId="1" fontId="6" fillId="33" borderId="59" xfId="1" applyNumberFormat="1" applyFont="1" applyFill="1" applyBorder="1" applyAlignment="1" applyProtection="1">
      <alignment horizontal="center"/>
      <protection locked="0"/>
    </xf>
    <xf numFmtId="1" fontId="6" fillId="33" borderId="22" xfId="1" applyNumberFormat="1" applyFont="1" applyFill="1" applyBorder="1" applyAlignment="1" applyProtection="1">
      <alignment horizontal="center"/>
      <protection locked="0"/>
    </xf>
    <xf numFmtId="1" fontId="6" fillId="33" borderId="11" xfId="1" applyNumberFormat="1" applyFont="1" applyFill="1" applyBorder="1" applyAlignment="1" applyProtection="1">
      <alignment horizontal="center"/>
      <protection locked="0"/>
    </xf>
    <xf numFmtId="1" fontId="4" fillId="33" borderId="4" xfId="1" applyNumberFormat="1" applyFont="1" applyFill="1" applyBorder="1" applyAlignment="1" applyProtection="1">
      <alignment horizontal="center"/>
      <protection locked="0"/>
    </xf>
    <xf numFmtId="1" fontId="6" fillId="5" borderId="17" xfId="1" applyNumberFormat="1" applyFont="1" applyFill="1" applyBorder="1" applyAlignment="1" applyProtection="1">
      <alignment horizontal="center"/>
      <protection locked="0"/>
    </xf>
    <xf numFmtId="1" fontId="6" fillId="38" borderId="11" xfId="1" applyNumberFormat="1" applyFont="1" applyFill="1" applyBorder="1" applyAlignment="1" applyProtection="1">
      <alignment horizontal="center"/>
      <protection locked="0"/>
    </xf>
    <xf numFmtId="1" fontId="6" fillId="33" borderId="3" xfId="1" applyNumberFormat="1" applyFont="1" applyFill="1" applyBorder="1" applyAlignment="1" applyProtection="1">
      <alignment horizontal="center"/>
      <protection locked="0"/>
    </xf>
    <xf numFmtId="0" fontId="0" fillId="33" borderId="0" xfId="0" applyFill="1" applyProtection="1">
      <protection locked="0"/>
    </xf>
    <xf numFmtId="1" fontId="4" fillId="5" borderId="3" xfId="1" applyNumberFormat="1" applyFont="1" applyFill="1" applyBorder="1" applyAlignment="1" applyProtection="1">
      <alignment horizontal="center"/>
      <protection locked="0"/>
    </xf>
    <xf numFmtId="1" fontId="6" fillId="33" borderId="13" xfId="1" applyNumberFormat="1" applyFont="1" applyFill="1" applyBorder="1" applyAlignment="1">
      <alignment horizontal="center"/>
    </xf>
    <xf numFmtId="1" fontId="6" fillId="33" borderId="61" xfId="1" applyNumberFormat="1" applyFont="1" applyFill="1" applyBorder="1" applyAlignment="1" applyProtection="1">
      <alignment horizontal="center"/>
      <protection locked="0"/>
    </xf>
    <xf numFmtId="1" fontId="6" fillId="33" borderId="20" xfId="1" applyNumberFormat="1" applyFont="1" applyFill="1" applyBorder="1" applyAlignment="1" applyProtection="1">
      <alignment horizontal="center"/>
      <protection locked="0"/>
    </xf>
    <xf numFmtId="14" fontId="12" fillId="2" borderId="33" xfId="1" applyNumberFormat="1" applyFont="1" applyFill="1" applyBorder="1" applyAlignment="1" applyProtection="1">
      <alignment horizontal="center"/>
      <protection hidden="1"/>
    </xf>
    <xf numFmtId="14" fontId="12" fillId="2" borderId="35" xfId="1" applyNumberFormat="1" applyFont="1" applyFill="1" applyBorder="1" applyAlignment="1" applyProtection="1">
      <alignment horizontal="center"/>
      <protection hidden="1"/>
    </xf>
    <xf numFmtId="14" fontId="12" fillId="2" borderId="30" xfId="1" applyNumberFormat="1" applyFont="1" applyFill="1" applyBorder="1" applyAlignment="1" applyProtection="1">
      <alignment horizontal="center"/>
      <protection hidden="1"/>
    </xf>
    <xf numFmtId="0" fontId="8" fillId="4" borderId="0" xfId="5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</cellXfs>
  <cellStyles count="367">
    <cellStyle name="20% - Énfasis1 2" xfId="317" xr:uid="{00000000-0005-0000-0000-000000000000}"/>
    <cellStyle name="20% - Énfasis2 2" xfId="313" xr:uid="{00000000-0005-0000-0000-000001000000}"/>
    <cellStyle name="20% - Énfasis3 2" xfId="311" xr:uid="{00000000-0005-0000-0000-000002000000}"/>
    <cellStyle name="20% - Énfasis4 2" xfId="314" xr:uid="{00000000-0005-0000-0000-000003000000}"/>
    <cellStyle name="20% - Énfasis5 2" xfId="316" xr:uid="{00000000-0005-0000-0000-000004000000}"/>
    <cellStyle name="20% - Énfasis6 2" xfId="312" xr:uid="{00000000-0005-0000-0000-000005000000}"/>
    <cellStyle name="40% - Énfasis1 2" xfId="319" xr:uid="{00000000-0005-0000-0000-000006000000}"/>
    <cellStyle name="40% - Énfasis2 2" xfId="320" xr:uid="{00000000-0005-0000-0000-000007000000}"/>
    <cellStyle name="40% - Énfasis3 2" xfId="321" xr:uid="{00000000-0005-0000-0000-000008000000}"/>
    <cellStyle name="40% - Énfasis4 2" xfId="322" xr:uid="{00000000-0005-0000-0000-000009000000}"/>
    <cellStyle name="40% - Énfasis5 2" xfId="323" xr:uid="{00000000-0005-0000-0000-00000A000000}"/>
    <cellStyle name="40% - Énfasis6 2" xfId="324" xr:uid="{00000000-0005-0000-0000-00000B000000}"/>
    <cellStyle name="60% - Énfasis1 2" xfId="325" xr:uid="{00000000-0005-0000-0000-00000C000000}"/>
    <cellStyle name="60% - Énfasis2 2" xfId="326" xr:uid="{00000000-0005-0000-0000-00000D000000}"/>
    <cellStyle name="60% - Énfasis3 2" xfId="327" xr:uid="{00000000-0005-0000-0000-00000E000000}"/>
    <cellStyle name="60% - Énfasis4 2" xfId="328" xr:uid="{00000000-0005-0000-0000-00000F000000}"/>
    <cellStyle name="60% - Énfasis5 2" xfId="329" xr:uid="{00000000-0005-0000-0000-000010000000}"/>
    <cellStyle name="60% - Énfasis6 2" xfId="330" xr:uid="{00000000-0005-0000-0000-000011000000}"/>
    <cellStyle name="Buena 2" xfId="331" xr:uid="{00000000-0005-0000-0000-000012000000}"/>
    <cellStyle name="Cálculo 2" xfId="332" xr:uid="{00000000-0005-0000-0000-000013000000}"/>
    <cellStyle name="Celda de comprobación 2" xfId="333" xr:uid="{00000000-0005-0000-0000-000014000000}"/>
    <cellStyle name="Celda vinculada 2" xfId="334" xr:uid="{00000000-0005-0000-0000-000015000000}"/>
    <cellStyle name="Encabezado 4 2" xfId="335" xr:uid="{00000000-0005-0000-0000-000016000000}"/>
    <cellStyle name="Énfasis1 2" xfId="336" xr:uid="{00000000-0005-0000-0000-000017000000}"/>
    <cellStyle name="Énfasis2 2" xfId="337" xr:uid="{00000000-0005-0000-0000-000018000000}"/>
    <cellStyle name="Énfasis3 2" xfId="338" xr:uid="{00000000-0005-0000-0000-000019000000}"/>
    <cellStyle name="Énfasis4 2" xfId="339" xr:uid="{00000000-0005-0000-0000-00001A000000}"/>
    <cellStyle name="Énfasis5 2" xfId="340" xr:uid="{00000000-0005-0000-0000-00001B000000}"/>
    <cellStyle name="Énfasis6 2" xfId="341" xr:uid="{00000000-0005-0000-0000-00001C000000}"/>
    <cellStyle name="Entrada 2" xfId="342" xr:uid="{00000000-0005-0000-0000-00001D000000}"/>
    <cellStyle name="Euro" xfId="343" xr:uid="{00000000-0005-0000-0000-00001E000000}"/>
    <cellStyle name="Incorrecto 2" xfId="344" xr:uid="{00000000-0005-0000-0000-00001F000000}"/>
    <cellStyle name="Millares" xfId="307" builtinId="3"/>
    <cellStyle name="Millares [0] 10" xfId="153" xr:uid="{00000000-0005-0000-0000-000021000000}"/>
    <cellStyle name="Millares [0] 2" xfId="13" xr:uid="{00000000-0005-0000-0000-000022000000}"/>
    <cellStyle name="Millares [0] 2 2" xfId="10" xr:uid="{00000000-0005-0000-0000-000023000000}"/>
    <cellStyle name="Millares [0] 2 2 2" xfId="156" xr:uid="{00000000-0005-0000-0000-000024000000}"/>
    <cellStyle name="Millares [0] 2 3" xfId="155" xr:uid="{00000000-0005-0000-0000-000025000000}"/>
    <cellStyle name="Millares [0] 3" xfId="15" xr:uid="{00000000-0005-0000-0000-000026000000}"/>
    <cellStyle name="Millares [0] 3 2" xfId="12" xr:uid="{00000000-0005-0000-0000-000027000000}"/>
    <cellStyle name="Millares [0] 3 2 2" xfId="158" xr:uid="{00000000-0005-0000-0000-000028000000}"/>
    <cellStyle name="Millares [0] 3 3" xfId="157" xr:uid="{00000000-0005-0000-0000-000029000000}"/>
    <cellStyle name="Millares [0] 4" xfId="14" xr:uid="{00000000-0005-0000-0000-00002A000000}"/>
    <cellStyle name="Millares [0] 4 2" xfId="11" xr:uid="{00000000-0005-0000-0000-00002B000000}"/>
    <cellStyle name="Millares [0] 4 2 2" xfId="160" xr:uid="{00000000-0005-0000-0000-00002C000000}"/>
    <cellStyle name="Millares [0] 4 3" xfId="159" xr:uid="{00000000-0005-0000-0000-00002D000000}"/>
    <cellStyle name="Millares [0] 5" xfId="16" xr:uid="{00000000-0005-0000-0000-00002E000000}"/>
    <cellStyle name="Millares [0] 5 2" xfId="109" xr:uid="{00000000-0005-0000-0000-00002F000000}"/>
    <cellStyle name="Millares [0] 5 2 2" xfId="260" xr:uid="{00000000-0005-0000-0000-000030000000}"/>
    <cellStyle name="Millares [0] 5 3" xfId="161" xr:uid="{00000000-0005-0000-0000-000031000000}"/>
    <cellStyle name="Millares [0] 6" xfId="17" xr:uid="{00000000-0005-0000-0000-000032000000}"/>
    <cellStyle name="Millares [0] 6 2" xfId="110" xr:uid="{00000000-0005-0000-0000-000033000000}"/>
    <cellStyle name="Millares [0] 6 2 2" xfId="261" xr:uid="{00000000-0005-0000-0000-000034000000}"/>
    <cellStyle name="Millares [0] 6 3" xfId="162" xr:uid="{00000000-0005-0000-0000-000035000000}"/>
    <cellStyle name="Millares [0] 7" xfId="18" xr:uid="{00000000-0005-0000-0000-000036000000}"/>
    <cellStyle name="Millares [0] 7 2" xfId="111" xr:uid="{00000000-0005-0000-0000-000037000000}"/>
    <cellStyle name="Millares [0] 7 2 2" xfId="262" xr:uid="{00000000-0005-0000-0000-000038000000}"/>
    <cellStyle name="Millares [0] 7 3" xfId="163" xr:uid="{00000000-0005-0000-0000-000039000000}"/>
    <cellStyle name="Millares [0] 8" xfId="19" xr:uid="{00000000-0005-0000-0000-00003A000000}"/>
    <cellStyle name="Millares [0] 8 2" xfId="112" xr:uid="{00000000-0005-0000-0000-00003B000000}"/>
    <cellStyle name="Millares [0] 8 2 2" xfId="263" xr:uid="{00000000-0005-0000-0000-00003C000000}"/>
    <cellStyle name="Millares [0] 8 3" xfId="164" xr:uid="{00000000-0005-0000-0000-00003D000000}"/>
    <cellStyle name="Millares [0] 9" xfId="304" xr:uid="{00000000-0005-0000-0000-00003E000000}"/>
    <cellStyle name="Millares 10" xfId="20" xr:uid="{00000000-0005-0000-0000-00003F000000}"/>
    <cellStyle name="Millares 10 2" xfId="21" xr:uid="{00000000-0005-0000-0000-000040000000}"/>
    <cellStyle name="Millares 10 2 2" xfId="166" xr:uid="{00000000-0005-0000-0000-000041000000}"/>
    <cellStyle name="Millares 10 3" xfId="165" xr:uid="{00000000-0005-0000-0000-000042000000}"/>
    <cellStyle name="Millares 11" xfId="22" xr:uid="{00000000-0005-0000-0000-000043000000}"/>
    <cellStyle name="Millares 11 2" xfId="167" xr:uid="{00000000-0005-0000-0000-000044000000}"/>
    <cellStyle name="Millares 12" xfId="23" xr:uid="{00000000-0005-0000-0000-000045000000}"/>
    <cellStyle name="Millares 12 2" xfId="168" xr:uid="{00000000-0005-0000-0000-000046000000}"/>
    <cellStyle name="Millares 13" xfId="24" xr:uid="{00000000-0005-0000-0000-000047000000}"/>
    <cellStyle name="Millares 13 2" xfId="169" xr:uid="{00000000-0005-0000-0000-000048000000}"/>
    <cellStyle name="Millares 14" xfId="25" xr:uid="{00000000-0005-0000-0000-000049000000}"/>
    <cellStyle name="Millares 14 2" xfId="170" xr:uid="{00000000-0005-0000-0000-00004A000000}"/>
    <cellStyle name="Millares 15" xfId="26" xr:uid="{00000000-0005-0000-0000-00004B000000}"/>
    <cellStyle name="Millares 15 2" xfId="171" xr:uid="{00000000-0005-0000-0000-00004C000000}"/>
    <cellStyle name="Millares 16" xfId="27" xr:uid="{00000000-0005-0000-0000-00004D000000}"/>
    <cellStyle name="Millares 16 2" xfId="172" xr:uid="{00000000-0005-0000-0000-00004E000000}"/>
    <cellStyle name="Millares 17" xfId="28" xr:uid="{00000000-0005-0000-0000-00004F000000}"/>
    <cellStyle name="Millares 17 2" xfId="173" xr:uid="{00000000-0005-0000-0000-000050000000}"/>
    <cellStyle name="Millares 18" xfId="29" xr:uid="{00000000-0005-0000-0000-000051000000}"/>
    <cellStyle name="Millares 18 2" xfId="174" xr:uid="{00000000-0005-0000-0000-000052000000}"/>
    <cellStyle name="Millares 19" xfId="30" xr:uid="{00000000-0005-0000-0000-000053000000}"/>
    <cellStyle name="Millares 19 2" xfId="175" xr:uid="{00000000-0005-0000-0000-000054000000}"/>
    <cellStyle name="Millares 2" xfId="3" xr:uid="{00000000-0005-0000-0000-000055000000}"/>
    <cellStyle name="Millares 2 2" xfId="7" xr:uid="{00000000-0005-0000-0000-000056000000}"/>
    <cellStyle name="Millares 2 3" xfId="346" xr:uid="{00000000-0005-0000-0000-000057000000}"/>
    <cellStyle name="Millares 20" xfId="31" xr:uid="{00000000-0005-0000-0000-000058000000}"/>
    <cellStyle name="Millares 20 2" xfId="176" xr:uid="{00000000-0005-0000-0000-000059000000}"/>
    <cellStyle name="Millares 21" xfId="32" xr:uid="{00000000-0005-0000-0000-00005A000000}"/>
    <cellStyle name="Millares 21 2" xfId="113" xr:uid="{00000000-0005-0000-0000-00005B000000}"/>
    <cellStyle name="Millares 21 2 2" xfId="264" xr:uid="{00000000-0005-0000-0000-00005C000000}"/>
    <cellStyle name="Millares 21 3" xfId="177" xr:uid="{00000000-0005-0000-0000-00005D000000}"/>
    <cellStyle name="Millares 22" xfId="33" xr:uid="{00000000-0005-0000-0000-00005E000000}"/>
    <cellStyle name="Millares 22 2" xfId="114" xr:uid="{00000000-0005-0000-0000-00005F000000}"/>
    <cellStyle name="Millares 22 2 2" xfId="265" xr:uid="{00000000-0005-0000-0000-000060000000}"/>
    <cellStyle name="Millares 22 3" xfId="178" xr:uid="{00000000-0005-0000-0000-000061000000}"/>
    <cellStyle name="Millares 23" xfId="34" xr:uid="{00000000-0005-0000-0000-000062000000}"/>
    <cellStyle name="Millares 23 2" xfId="115" xr:uid="{00000000-0005-0000-0000-000063000000}"/>
    <cellStyle name="Millares 23 2 2" xfId="266" xr:uid="{00000000-0005-0000-0000-000064000000}"/>
    <cellStyle name="Millares 23 3" xfId="179" xr:uid="{00000000-0005-0000-0000-000065000000}"/>
    <cellStyle name="Millares 24" xfId="35" xr:uid="{00000000-0005-0000-0000-000066000000}"/>
    <cellStyle name="Millares 24 2" xfId="116" xr:uid="{00000000-0005-0000-0000-000067000000}"/>
    <cellStyle name="Millares 24 2 2" xfId="267" xr:uid="{00000000-0005-0000-0000-000068000000}"/>
    <cellStyle name="Millares 24 3" xfId="180" xr:uid="{00000000-0005-0000-0000-000069000000}"/>
    <cellStyle name="Millares 25" xfId="36" xr:uid="{00000000-0005-0000-0000-00006A000000}"/>
    <cellStyle name="Millares 25 2" xfId="117" xr:uid="{00000000-0005-0000-0000-00006B000000}"/>
    <cellStyle name="Millares 25 2 2" xfId="268" xr:uid="{00000000-0005-0000-0000-00006C000000}"/>
    <cellStyle name="Millares 25 3" xfId="181" xr:uid="{00000000-0005-0000-0000-00006D000000}"/>
    <cellStyle name="Millares 26" xfId="37" xr:uid="{00000000-0005-0000-0000-00006E000000}"/>
    <cellStyle name="Millares 26 2" xfId="118" xr:uid="{00000000-0005-0000-0000-00006F000000}"/>
    <cellStyle name="Millares 26 2 2" xfId="269" xr:uid="{00000000-0005-0000-0000-000070000000}"/>
    <cellStyle name="Millares 26 3" xfId="182" xr:uid="{00000000-0005-0000-0000-000071000000}"/>
    <cellStyle name="Millares 27" xfId="38" xr:uid="{00000000-0005-0000-0000-000072000000}"/>
    <cellStyle name="Millares 27 2" xfId="119" xr:uid="{00000000-0005-0000-0000-000073000000}"/>
    <cellStyle name="Millares 27 2 2" xfId="270" xr:uid="{00000000-0005-0000-0000-000074000000}"/>
    <cellStyle name="Millares 27 3" xfId="183" xr:uid="{00000000-0005-0000-0000-000075000000}"/>
    <cellStyle name="Millares 28" xfId="39" xr:uid="{00000000-0005-0000-0000-000076000000}"/>
    <cellStyle name="Millares 28 2" xfId="120" xr:uid="{00000000-0005-0000-0000-000077000000}"/>
    <cellStyle name="Millares 28 2 2" xfId="271" xr:uid="{00000000-0005-0000-0000-000078000000}"/>
    <cellStyle name="Millares 28 3" xfId="184" xr:uid="{00000000-0005-0000-0000-000079000000}"/>
    <cellStyle name="Millares 29" xfId="40" xr:uid="{00000000-0005-0000-0000-00007A000000}"/>
    <cellStyle name="Millares 29 2" xfId="121" xr:uid="{00000000-0005-0000-0000-00007B000000}"/>
    <cellStyle name="Millares 29 2 2" xfId="272" xr:uid="{00000000-0005-0000-0000-00007C000000}"/>
    <cellStyle name="Millares 29 3" xfId="185" xr:uid="{00000000-0005-0000-0000-00007D000000}"/>
    <cellStyle name="Millares 3" xfId="4" xr:uid="{00000000-0005-0000-0000-00007E000000}"/>
    <cellStyle name="Millares 3 2" xfId="8" xr:uid="{00000000-0005-0000-0000-00007F000000}"/>
    <cellStyle name="Millares 3 2 2" xfId="187" xr:uid="{00000000-0005-0000-0000-000080000000}"/>
    <cellStyle name="Millares 3 3" xfId="186" xr:uid="{00000000-0005-0000-0000-000081000000}"/>
    <cellStyle name="Millares 30" xfId="41" xr:uid="{00000000-0005-0000-0000-000082000000}"/>
    <cellStyle name="Millares 30 2" xfId="122" xr:uid="{00000000-0005-0000-0000-000083000000}"/>
    <cellStyle name="Millares 30 2 2" xfId="273" xr:uid="{00000000-0005-0000-0000-000084000000}"/>
    <cellStyle name="Millares 30 3" xfId="188" xr:uid="{00000000-0005-0000-0000-000085000000}"/>
    <cellStyle name="Millares 31" xfId="42" xr:uid="{00000000-0005-0000-0000-000086000000}"/>
    <cellStyle name="Millares 31 2" xfId="123" xr:uid="{00000000-0005-0000-0000-000087000000}"/>
    <cellStyle name="Millares 31 2 2" xfId="274" xr:uid="{00000000-0005-0000-0000-000088000000}"/>
    <cellStyle name="Millares 31 3" xfId="189" xr:uid="{00000000-0005-0000-0000-000089000000}"/>
    <cellStyle name="Millares 32" xfId="43" xr:uid="{00000000-0005-0000-0000-00008A000000}"/>
    <cellStyle name="Millares 32 2" xfId="124" xr:uid="{00000000-0005-0000-0000-00008B000000}"/>
    <cellStyle name="Millares 32 2 2" xfId="275" xr:uid="{00000000-0005-0000-0000-00008C000000}"/>
    <cellStyle name="Millares 32 3" xfId="190" xr:uid="{00000000-0005-0000-0000-00008D000000}"/>
    <cellStyle name="Millares 33" xfId="44" xr:uid="{00000000-0005-0000-0000-00008E000000}"/>
    <cellStyle name="Millares 33 2" xfId="125" xr:uid="{00000000-0005-0000-0000-00008F000000}"/>
    <cellStyle name="Millares 33 2 2" xfId="276" xr:uid="{00000000-0005-0000-0000-000090000000}"/>
    <cellStyle name="Millares 33 3" xfId="191" xr:uid="{00000000-0005-0000-0000-000091000000}"/>
    <cellStyle name="Millares 34" xfId="45" xr:uid="{00000000-0005-0000-0000-000092000000}"/>
    <cellStyle name="Millares 34 2" xfId="126" xr:uid="{00000000-0005-0000-0000-000093000000}"/>
    <cellStyle name="Millares 34 2 2" xfId="277" xr:uid="{00000000-0005-0000-0000-000094000000}"/>
    <cellStyle name="Millares 34 3" xfId="192" xr:uid="{00000000-0005-0000-0000-000095000000}"/>
    <cellStyle name="Millares 35" xfId="46" xr:uid="{00000000-0005-0000-0000-000096000000}"/>
    <cellStyle name="Millares 35 2" xfId="127" xr:uid="{00000000-0005-0000-0000-000097000000}"/>
    <cellStyle name="Millares 35 2 2" xfId="278" xr:uid="{00000000-0005-0000-0000-000098000000}"/>
    <cellStyle name="Millares 35 3" xfId="193" xr:uid="{00000000-0005-0000-0000-000099000000}"/>
    <cellStyle name="Millares 36" xfId="47" xr:uid="{00000000-0005-0000-0000-00009A000000}"/>
    <cellStyle name="Millares 36 2" xfId="128" xr:uid="{00000000-0005-0000-0000-00009B000000}"/>
    <cellStyle name="Millares 36 2 2" xfId="279" xr:uid="{00000000-0005-0000-0000-00009C000000}"/>
    <cellStyle name="Millares 36 3" xfId="194" xr:uid="{00000000-0005-0000-0000-00009D000000}"/>
    <cellStyle name="Millares 37" xfId="48" xr:uid="{00000000-0005-0000-0000-00009E000000}"/>
    <cellStyle name="Millares 37 2" xfId="129" xr:uid="{00000000-0005-0000-0000-00009F000000}"/>
    <cellStyle name="Millares 37 2 2" xfId="280" xr:uid="{00000000-0005-0000-0000-0000A0000000}"/>
    <cellStyle name="Millares 37 3" xfId="195" xr:uid="{00000000-0005-0000-0000-0000A1000000}"/>
    <cellStyle name="Millares 38" xfId="49" xr:uid="{00000000-0005-0000-0000-0000A2000000}"/>
    <cellStyle name="Millares 38 2" xfId="130" xr:uid="{00000000-0005-0000-0000-0000A3000000}"/>
    <cellStyle name="Millares 38 2 2" xfId="281" xr:uid="{00000000-0005-0000-0000-0000A4000000}"/>
    <cellStyle name="Millares 38 3" xfId="196" xr:uid="{00000000-0005-0000-0000-0000A5000000}"/>
    <cellStyle name="Millares 39" xfId="50" xr:uid="{00000000-0005-0000-0000-0000A6000000}"/>
    <cellStyle name="Millares 39 2" xfId="197" xr:uid="{00000000-0005-0000-0000-0000A7000000}"/>
    <cellStyle name="Millares 4" xfId="2" xr:uid="{00000000-0005-0000-0000-0000A8000000}"/>
    <cellStyle name="Millares 4 2" xfId="51" xr:uid="{00000000-0005-0000-0000-0000A9000000}"/>
    <cellStyle name="Millares 4 2 2" xfId="199" xr:uid="{00000000-0005-0000-0000-0000AA000000}"/>
    <cellStyle name="Millares 4 2 3" xfId="348" xr:uid="{00000000-0005-0000-0000-0000AB000000}"/>
    <cellStyle name="Millares 4 3" xfId="198" xr:uid="{00000000-0005-0000-0000-0000AC000000}"/>
    <cellStyle name="Millares 4 4" xfId="347" xr:uid="{00000000-0005-0000-0000-0000AD000000}"/>
    <cellStyle name="Millares 40" xfId="52" xr:uid="{00000000-0005-0000-0000-0000AE000000}"/>
    <cellStyle name="Millares 40 2" xfId="200" xr:uid="{00000000-0005-0000-0000-0000AF000000}"/>
    <cellStyle name="Millares 41" xfId="53" xr:uid="{00000000-0005-0000-0000-0000B0000000}"/>
    <cellStyle name="Millares 41 2" xfId="201" xr:uid="{00000000-0005-0000-0000-0000B1000000}"/>
    <cellStyle name="Millares 42" xfId="54" xr:uid="{00000000-0005-0000-0000-0000B2000000}"/>
    <cellStyle name="Millares 42 2" xfId="202" xr:uid="{00000000-0005-0000-0000-0000B3000000}"/>
    <cellStyle name="Millares 43" xfId="55" xr:uid="{00000000-0005-0000-0000-0000B4000000}"/>
    <cellStyle name="Millares 43 2" xfId="203" xr:uid="{00000000-0005-0000-0000-0000B5000000}"/>
    <cellStyle name="Millares 44" xfId="56" xr:uid="{00000000-0005-0000-0000-0000B6000000}"/>
    <cellStyle name="Millares 44 2" xfId="204" xr:uid="{00000000-0005-0000-0000-0000B7000000}"/>
    <cellStyle name="Millares 45" xfId="57" xr:uid="{00000000-0005-0000-0000-0000B8000000}"/>
    <cellStyle name="Millares 45 2" xfId="205" xr:uid="{00000000-0005-0000-0000-0000B9000000}"/>
    <cellStyle name="Millares 46" xfId="58" xr:uid="{00000000-0005-0000-0000-0000BA000000}"/>
    <cellStyle name="Millares 46 2" xfId="131" xr:uid="{00000000-0005-0000-0000-0000BB000000}"/>
    <cellStyle name="Millares 46 2 2" xfId="282" xr:uid="{00000000-0005-0000-0000-0000BC000000}"/>
    <cellStyle name="Millares 46 3" xfId="206" xr:uid="{00000000-0005-0000-0000-0000BD000000}"/>
    <cellStyle name="Millares 47" xfId="59" xr:uid="{00000000-0005-0000-0000-0000BE000000}"/>
    <cellStyle name="Millares 47 2" xfId="132" xr:uid="{00000000-0005-0000-0000-0000BF000000}"/>
    <cellStyle name="Millares 47 2 2" xfId="283" xr:uid="{00000000-0005-0000-0000-0000C0000000}"/>
    <cellStyle name="Millares 47 3" xfId="207" xr:uid="{00000000-0005-0000-0000-0000C1000000}"/>
    <cellStyle name="Millares 48" xfId="60" xr:uid="{00000000-0005-0000-0000-0000C2000000}"/>
    <cellStyle name="Millares 48 2" xfId="133" xr:uid="{00000000-0005-0000-0000-0000C3000000}"/>
    <cellStyle name="Millares 48 2 2" xfId="284" xr:uid="{00000000-0005-0000-0000-0000C4000000}"/>
    <cellStyle name="Millares 48 3" xfId="208" xr:uid="{00000000-0005-0000-0000-0000C5000000}"/>
    <cellStyle name="Millares 49" xfId="61" xr:uid="{00000000-0005-0000-0000-0000C6000000}"/>
    <cellStyle name="Millares 49 2" xfId="209" xr:uid="{00000000-0005-0000-0000-0000C7000000}"/>
    <cellStyle name="Millares 5" xfId="62" xr:uid="{00000000-0005-0000-0000-0000C8000000}"/>
    <cellStyle name="Millares 5 2" xfId="63" xr:uid="{00000000-0005-0000-0000-0000C9000000}"/>
    <cellStyle name="Millares 5 2 2" xfId="211" xr:uid="{00000000-0005-0000-0000-0000CA000000}"/>
    <cellStyle name="Millares 5 3" xfId="210" xr:uid="{00000000-0005-0000-0000-0000CB000000}"/>
    <cellStyle name="Millares 5 4" xfId="349" xr:uid="{00000000-0005-0000-0000-0000CC000000}"/>
    <cellStyle name="Millares 50" xfId="64" xr:uid="{00000000-0005-0000-0000-0000CD000000}"/>
    <cellStyle name="Millares 50 2" xfId="212" xr:uid="{00000000-0005-0000-0000-0000CE000000}"/>
    <cellStyle name="Millares 51" xfId="65" xr:uid="{00000000-0005-0000-0000-0000CF000000}"/>
    <cellStyle name="Millares 51 2" xfId="213" xr:uid="{00000000-0005-0000-0000-0000D0000000}"/>
    <cellStyle name="Millares 52" xfId="66" xr:uid="{00000000-0005-0000-0000-0000D1000000}"/>
    <cellStyle name="Millares 52 2" xfId="214" xr:uid="{00000000-0005-0000-0000-0000D2000000}"/>
    <cellStyle name="Millares 53" xfId="67" xr:uid="{00000000-0005-0000-0000-0000D3000000}"/>
    <cellStyle name="Millares 53 2" xfId="215" xr:uid="{00000000-0005-0000-0000-0000D4000000}"/>
    <cellStyle name="Millares 54" xfId="68" xr:uid="{00000000-0005-0000-0000-0000D5000000}"/>
    <cellStyle name="Millares 54 2" xfId="216" xr:uid="{00000000-0005-0000-0000-0000D6000000}"/>
    <cellStyle name="Millares 55" xfId="69" xr:uid="{00000000-0005-0000-0000-0000D7000000}"/>
    <cellStyle name="Millares 55 2" xfId="217" xr:uid="{00000000-0005-0000-0000-0000D8000000}"/>
    <cellStyle name="Millares 56" xfId="70" xr:uid="{00000000-0005-0000-0000-0000D9000000}"/>
    <cellStyle name="Millares 56 2" xfId="218" xr:uid="{00000000-0005-0000-0000-0000DA000000}"/>
    <cellStyle name="Millares 57" xfId="71" xr:uid="{00000000-0005-0000-0000-0000DB000000}"/>
    <cellStyle name="Millares 57 2" xfId="219" xr:uid="{00000000-0005-0000-0000-0000DC000000}"/>
    <cellStyle name="Millares 58" xfId="72" xr:uid="{00000000-0005-0000-0000-0000DD000000}"/>
    <cellStyle name="Millares 58 2" xfId="220" xr:uid="{00000000-0005-0000-0000-0000DE000000}"/>
    <cellStyle name="Millares 59" xfId="73" xr:uid="{00000000-0005-0000-0000-0000DF000000}"/>
    <cellStyle name="Millares 59 2" xfId="221" xr:uid="{00000000-0005-0000-0000-0000E0000000}"/>
    <cellStyle name="Millares 6" xfId="74" xr:uid="{00000000-0005-0000-0000-0000E1000000}"/>
    <cellStyle name="Millares 6 2" xfId="75" xr:uid="{00000000-0005-0000-0000-0000E2000000}"/>
    <cellStyle name="Millares 6 2 2" xfId="223" xr:uid="{00000000-0005-0000-0000-0000E3000000}"/>
    <cellStyle name="Millares 6 3" xfId="222" xr:uid="{00000000-0005-0000-0000-0000E4000000}"/>
    <cellStyle name="Millares 6 4" xfId="350" xr:uid="{00000000-0005-0000-0000-0000E5000000}"/>
    <cellStyle name="Millares 60" xfId="76" xr:uid="{00000000-0005-0000-0000-0000E6000000}"/>
    <cellStyle name="Millares 60 2" xfId="134" xr:uid="{00000000-0005-0000-0000-0000E7000000}"/>
    <cellStyle name="Millares 60 2 2" xfId="285" xr:uid="{00000000-0005-0000-0000-0000E8000000}"/>
    <cellStyle name="Millares 60 3" xfId="224" xr:uid="{00000000-0005-0000-0000-0000E9000000}"/>
    <cellStyle name="Millares 61" xfId="77" xr:uid="{00000000-0005-0000-0000-0000EA000000}"/>
    <cellStyle name="Millares 61 2" xfId="135" xr:uid="{00000000-0005-0000-0000-0000EB000000}"/>
    <cellStyle name="Millares 61 2 2" xfId="286" xr:uid="{00000000-0005-0000-0000-0000EC000000}"/>
    <cellStyle name="Millares 61 3" xfId="225" xr:uid="{00000000-0005-0000-0000-0000ED000000}"/>
    <cellStyle name="Millares 62" xfId="78" xr:uid="{00000000-0005-0000-0000-0000EE000000}"/>
    <cellStyle name="Millares 62 2" xfId="136" xr:uid="{00000000-0005-0000-0000-0000EF000000}"/>
    <cellStyle name="Millares 62 2 2" xfId="287" xr:uid="{00000000-0005-0000-0000-0000F0000000}"/>
    <cellStyle name="Millares 62 3" xfId="226" xr:uid="{00000000-0005-0000-0000-0000F1000000}"/>
    <cellStyle name="Millares 63" xfId="79" xr:uid="{00000000-0005-0000-0000-0000F2000000}"/>
    <cellStyle name="Millares 63 2" xfId="137" xr:uid="{00000000-0005-0000-0000-0000F3000000}"/>
    <cellStyle name="Millares 63 2 2" xfId="288" xr:uid="{00000000-0005-0000-0000-0000F4000000}"/>
    <cellStyle name="Millares 63 3" xfId="227" xr:uid="{00000000-0005-0000-0000-0000F5000000}"/>
    <cellStyle name="Millares 64" xfId="80" xr:uid="{00000000-0005-0000-0000-0000F6000000}"/>
    <cellStyle name="Millares 64 2" xfId="138" xr:uid="{00000000-0005-0000-0000-0000F7000000}"/>
    <cellStyle name="Millares 64 2 2" xfId="289" xr:uid="{00000000-0005-0000-0000-0000F8000000}"/>
    <cellStyle name="Millares 64 3" xfId="228" xr:uid="{00000000-0005-0000-0000-0000F9000000}"/>
    <cellStyle name="Millares 65" xfId="81" xr:uid="{00000000-0005-0000-0000-0000FA000000}"/>
    <cellStyle name="Millares 65 2" xfId="139" xr:uid="{00000000-0005-0000-0000-0000FB000000}"/>
    <cellStyle name="Millares 65 2 2" xfId="290" xr:uid="{00000000-0005-0000-0000-0000FC000000}"/>
    <cellStyle name="Millares 65 3" xfId="229" xr:uid="{00000000-0005-0000-0000-0000FD000000}"/>
    <cellStyle name="Millares 66" xfId="82" xr:uid="{00000000-0005-0000-0000-0000FE000000}"/>
    <cellStyle name="Millares 66 2" xfId="230" xr:uid="{00000000-0005-0000-0000-0000FF000000}"/>
    <cellStyle name="Millares 67" xfId="83" xr:uid="{00000000-0005-0000-0000-000000010000}"/>
    <cellStyle name="Millares 67 2" xfId="140" xr:uid="{00000000-0005-0000-0000-000001010000}"/>
    <cellStyle name="Millares 67 2 2" xfId="291" xr:uid="{00000000-0005-0000-0000-000002010000}"/>
    <cellStyle name="Millares 67 3" xfId="231" xr:uid="{00000000-0005-0000-0000-000003010000}"/>
    <cellStyle name="Millares 68" xfId="84" xr:uid="{00000000-0005-0000-0000-000004010000}"/>
    <cellStyle name="Millares 68 2" xfId="141" xr:uid="{00000000-0005-0000-0000-000005010000}"/>
    <cellStyle name="Millares 68 2 2" xfId="292" xr:uid="{00000000-0005-0000-0000-000006010000}"/>
    <cellStyle name="Millares 68 3" xfId="251" xr:uid="{00000000-0005-0000-0000-000007010000}"/>
    <cellStyle name="Millares 69" xfId="85" xr:uid="{00000000-0005-0000-0000-000008010000}"/>
    <cellStyle name="Millares 69 2" xfId="142" xr:uid="{00000000-0005-0000-0000-000009010000}"/>
    <cellStyle name="Millares 69 2 2" xfId="293" xr:uid="{00000000-0005-0000-0000-00000A010000}"/>
    <cellStyle name="Millares 69 3" xfId="252" xr:uid="{00000000-0005-0000-0000-00000B010000}"/>
    <cellStyle name="Millares 7" xfId="86" xr:uid="{00000000-0005-0000-0000-00000C010000}"/>
    <cellStyle name="Millares 7 2" xfId="87" xr:uid="{00000000-0005-0000-0000-00000D010000}"/>
    <cellStyle name="Millares 7 2 2" xfId="233" xr:uid="{00000000-0005-0000-0000-00000E010000}"/>
    <cellStyle name="Millares 7 3" xfId="232" xr:uid="{00000000-0005-0000-0000-00000F010000}"/>
    <cellStyle name="Millares 7 4" xfId="351" xr:uid="{00000000-0005-0000-0000-000010010000}"/>
    <cellStyle name="Millares 70" xfId="88" xr:uid="{00000000-0005-0000-0000-000011010000}"/>
    <cellStyle name="Millares 70 2" xfId="143" xr:uid="{00000000-0005-0000-0000-000012010000}"/>
    <cellStyle name="Millares 70 2 2" xfId="294" xr:uid="{00000000-0005-0000-0000-000013010000}"/>
    <cellStyle name="Millares 70 3" xfId="253" xr:uid="{00000000-0005-0000-0000-000014010000}"/>
    <cellStyle name="Millares 71" xfId="89" xr:uid="{00000000-0005-0000-0000-000015010000}"/>
    <cellStyle name="Millares 71 2" xfId="144" xr:uid="{00000000-0005-0000-0000-000016010000}"/>
    <cellStyle name="Millares 71 2 2" xfId="295" xr:uid="{00000000-0005-0000-0000-000017010000}"/>
    <cellStyle name="Millares 71 3" xfId="254" xr:uid="{00000000-0005-0000-0000-000018010000}"/>
    <cellStyle name="Millares 72" xfId="90" xr:uid="{00000000-0005-0000-0000-000019010000}"/>
    <cellStyle name="Millares 72 2" xfId="145" xr:uid="{00000000-0005-0000-0000-00001A010000}"/>
    <cellStyle name="Millares 72 2 2" xfId="296" xr:uid="{00000000-0005-0000-0000-00001B010000}"/>
    <cellStyle name="Millares 72 3" xfId="255" xr:uid="{00000000-0005-0000-0000-00001C010000}"/>
    <cellStyle name="Millares 73" xfId="91" xr:uid="{00000000-0005-0000-0000-00001D010000}"/>
    <cellStyle name="Millares 73 2" xfId="146" xr:uid="{00000000-0005-0000-0000-00001E010000}"/>
    <cellStyle name="Millares 73 2 2" xfId="297" xr:uid="{00000000-0005-0000-0000-00001F010000}"/>
    <cellStyle name="Millares 73 3" xfId="256" xr:uid="{00000000-0005-0000-0000-000020010000}"/>
    <cellStyle name="Millares 74" xfId="92" xr:uid="{00000000-0005-0000-0000-000021010000}"/>
    <cellStyle name="Millares 74 2" xfId="147" xr:uid="{00000000-0005-0000-0000-000022010000}"/>
    <cellStyle name="Millares 74 2 2" xfId="298" xr:uid="{00000000-0005-0000-0000-000023010000}"/>
    <cellStyle name="Millares 74 3" xfId="257" xr:uid="{00000000-0005-0000-0000-000024010000}"/>
    <cellStyle name="Millares 75" xfId="108" xr:uid="{00000000-0005-0000-0000-000025010000}"/>
    <cellStyle name="Millares 75 2" xfId="259" xr:uid="{00000000-0005-0000-0000-000026010000}"/>
    <cellStyle name="Millares 76" xfId="238" xr:uid="{00000000-0005-0000-0000-000027010000}"/>
    <cellStyle name="Millares 77" xfId="309" xr:uid="{00000000-0005-0000-0000-000028010000}"/>
    <cellStyle name="Millares 78" xfId="315" xr:uid="{00000000-0005-0000-0000-000029010000}"/>
    <cellStyle name="Millares 79" xfId="310" xr:uid="{00000000-0005-0000-0000-00002A010000}"/>
    <cellStyle name="Millares 8" xfId="93" xr:uid="{00000000-0005-0000-0000-00002B010000}"/>
    <cellStyle name="Millares 8 2" xfId="94" xr:uid="{00000000-0005-0000-0000-00002C010000}"/>
    <cellStyle name="Millares 8 2 2" xfId="235" xr:uid="{00000000-0005-0000-0000-00002D010000}"/>
    <cellStyle name="Millares 8 3" xfId="234" xr:uid="{00000000-0005-0000-0000-00002E010000}"/>
    <cellStyle name="Millares 80" xfId="318" xr:uid="{00000000-0005-0000-0000-00002F010000}"/>
    <cellStyle name="Millares 81" xfId="345" xr:uid="{00000000-0005-0000-0000-000030010000}"/>
    <cellStyle name="Millares 9" xfId="95" xr:uid="{00000000-0005-0000-0000-000031010000}"/>
    <cellStyle name="Millares 9 2" xfId="96" xr:uid="{00000000-0005-0000-0000-000032010000}"/>
    <cellStyle name="Millares 9 2 2" xfId="237" xr:uid="{00000000-0005-0000-0000-000033010000}"/>
    <cellStyle name="Millares 9 3" xfId="236" xr:uid="{00000000-0005-0000-0000-000034010000}"/>
    <cellStyle name="Moneda 2" xfId="352" xr:uid="{00000000-0005-0000-0000-000035010000}"/>
    <cellStyle name="Neutral 2" xfId="353" xr:uid="{00000000-0005-0000-0000-000036010000}"/>
    <cellStyle name="Normal" xfId="0" builtinId="0"/>
    <cellStyle name="Normal 2" xfId="5" xr:uid="{00000000-0005-0000-0000-000038010000}"/>
    <cellStyle name="Normal 2 2" xfId="9" xr:uid="{00000000-0005-0000-0000-000039010000}"/>
    <cellStyle name="Normal 3" xfId="1" xr:uid="{00000000-0005-0000-0000-00003A010000}"/>
    <cellStyle name="Normal 3 2" xfId="98" xr:uid="{00000000-0005-0000-0000-00003B010000}"/>
    <cellStyle name="Normal 3 2 2" xfId="240" xr:uid="{00000000-0005-0000-0000-00003C010000}"/>
    <cellStyle name="Normal 3 3" xfId="239" xr:uid="{00000000-0005-0000-0000-00003D010000}"/>
    <cellStyle name="Normal 3 4" xfId="97" xr:uid="{00000000-0005-0000-0000-00003E010000}"/>
    <cellStyle name="Normal 4" xfId="99" xr:uid="{00000000-0005-0000-0000-00003F010000}"/>
    <cellStyle name="Normal 4 2" xfId="148" xr:uid="{00000000-0005-0000-0000-000040010000}"/>
    <cellStyle name="Normal 4 2 2" xfId="299" xr:uid="{00000000-0005-0000-0000-000041010000}"/>
    <cellStyle name="Normal 4 2 3" xfId="306" xr:uid="{00000000-0005-0000-0000-000042010000}"/>
    <cellStyle name="Normal 4 3" xfId="241" xr:uid="{00000000-0005-0000-0000-000043010000}"/>
    <cellStyle name="Normal 4 4" xfId="258" xr:uid="{00000000-0005-0000-0000-000044010000}"/>
    <cellStyle name="Normal 4 5" xfId="305" xr:uid="{00000000-0005-0000-0000-000045010000}"/>
    <cellStyle name="Normal 5" xfId="100" xr:uid="{00000000-0005-0000-0000-000046010000}"/>
    <cellStyle name="Normal 5 2" xfId="101" xr:uid="{00000000-0005-0000-0000-000047010000}"/>
    <cellStyle name="Normal 5 2 2" xfId="243" xr:uid="{00000000-0005-0000-0000-000048010000}"/>
    <cellStyle name="Normal 5 3" xfId="242" xr:uid="{00000000-0005-0000-0000-000049010000}"/>
    <cellStyle name="Normal 6" xfId="154" xr:uid="{00000000-0005-0000-0000-00004A010000}"/>
    <cellStyle name="Notas 2" xfId="354" xr:uid="{00000000-0005-0000-0000-00004B010000}"/>
    <cellStyle name="Porcentaje" xfId="308" builtinId="5"/>
    <cellStyle name="Porcentaje 2" xfId="6" xr:uid="{00000000-0005-0000-0000-00004D010000}"/>
    <cellStyle name="Porcentaje 2 2" xfId="102" xr:uid="{00000000-0005-0000-0000-00004E010000}"/>
    <cellStyle name="Porcentaje 2 2 2" xfId="245" xr:uid="{00000000-0005-0000-0000-00004F010000}"/>
    <cellStyle name="Porcentaje 2 3" xfId="244" xr:uid="{00000000-0005-0000-0000-000050010000}"/>
    <cellStyle name="Porcentaje 2 4" xfId="356" xr:uid="{00000000-0005-0000-0000-000051010000}"/>
    <cellStyle name="Porcentaje 3" xfId="103" xr:uid="{00000000-0005-0000-0000-000052010000}"/>
    <cellStyle name="Porcentaje 3 2" xfId="246" xr:uid="{00000000-0005-0000-0000-000053010000}"/>
    <cellStyle name="Porcentaje 3 3" xfId="357" xr:uid="{00000000-0005-0000-0000-000054010000}"/>
    <cellStyle name="Porcentaje 4" xfId="104" xr:uid="{00000000-0005-0000-0000-000055010000}"/>
    <cellStyle name="Porcentaje 4 2" xfId="149" xr:uid="{00000000-0005-0000-0000-000056010000}"/>
    <cellStyle name="Porcentaje 4 2 2" xfId="300" xr:uid="{00000000-0005-0000-0000-000057010000}"/>
    <cellStyle name="Porcentaje 4 3" xfId="247" xr:uid="{00000000-0005-0000-0000-000058010000}"/>
    <cellStyle name="Porcentaje 5" xfId="105" xr:uid="{00000000-0005-0000-0000-000059010000}"/>
    <cellStyle name="Porcentaje 5 2" xfId="150" xr:uid="{00000000-0005-0000-0000-00005A010000}"/>
    <cellStyle name="Porcentaje 5 2 2" xfId="301" xr:uid="{00000000-0005-0000-0000-00005B010000}"/>
    <cellStyle name="Porcentaje 5 3" xfId="248" xr:uid="{00000000-0005-0000-0000-00005C010000}"/>
    <cellStyle name="Porcentaje 6" xfId="106" xr:uid="{00000000-0005-0000-0000-00005D010000}"/>
    <cellStyle name="Porcentaje 6 2" xfId="151" xr:uid="{00000000-0005-0000-0000-00005E010000}"/>
    <cellStyle name="Porcentaje 6 2 2" xfId="302" xr:uid="{00000000-0005-0000-0000-00005F010000}"/>
    <cellStyle name="Porcentaje 6 3" xfId="249" xr:uid="{00000000-0005-0000-0000-000060010000}"/>
    <cellStyle name="Porcentaje 7" xfId="107" xr:uid="{00000000-0005-0000-0000-000061010000}"/>
    <cellStyle name="Porcentaje 7 2" xfId="152" xr:uid="{00000000-0005-0000-0000-000062010000}"/>
    <cellStyle name="Porcentaje 7 2 2" xfId="303" xr:uid="{00000000-0005-0000-0000-000063010000}"/>
    <cellStyle name="Porcentaje 7 3" xfId="250" xr:uid="{00000000-0005-0000-0000-000064010000}"/>
    <cellStyle name="Porcentaje 8" xfId="355" xr:uid="{00000000-0005-0000-0000-000065010000}"/>
    <cellStyle name="Porcentual 2" xfId="358" xr:uid="{00000000-0005-0000-0000-000066010000}"/>
    <cellStyle name="Salida 2" xfId="359" xr:uid="{00000000-0005-0000-0000-000067010000}"/>
    <cellStyle name="Texto de advertencia 2" xfId="360" xr:uid="{00000000-0005-0000-0000-000068010000}"/>
    <cellStyle name="Texto explicativo 2" xfId="361" xr:uid="{00000000-0005-0000-0000-000069010000}"/>
    <cellStyle name="Título 1 2" xfId="362" xr:uid="{00000000-0005-0000-0000-00006A010000}"/>
    <cellStyle name="Título 2 2" xfId="363" xr:uid="{00000000-0005-0000-0000-00006B010000}"/>
    <cellStyle name="Título 3 2" xfId="364" xr:uid="{00000000-0005-0000-0000-00006C010000}"/>
    <cellStyle name="Título 4" xfId="365" xr:uid="{00000000-0005-0000-0000-00006D010000}"/>
    <cellStyle name="Total 2" xfId="366" xr:uid="{00000000-0005-0000-0000-00006E010000}"/>
  </cellStyles>
  <dxfs count="4"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OA49152"/>
  <sheetViews>
    <sheetView zoomScale="115" zoomScaleNormal="115" workbookViewId="0">
      <pane xSplit="1" ySplit="2" topLeftCell="MY20" activePane="bottomRight" state="frozen"/>
      <selection pane="topRight" activeCell="B1" sqref="B1"/>
      <selection pane="bottomLeft" activeCell="A3" sqref="A3"/>
      <selection pane="bottomRight" activeCell="A32" sqref="A32"/>
    </sheetView>
  </sheetViews>
  <sheetFormatPr baseColWidth="10" defaultRowHeight="15" x14ac:dyDescent="0.2"/>
  <cols>
    <col min="1" max="1" width="29.5" bestFit="1" customWidth="1"/>
  </cols>
  <sheetData>
    <row r="1" spans="1:1067" ht="16" thickBot="1" x14ac:dyDescent="0.25">
      <c r="A1" s="114" t="s">
        <v>94</v>
      </c>
      <c r="B1" s="114"/>
      <c r="C1" s="112">
        <v>1</v>
      </c>
      <c r="D1" s="112">
        <v>1</v>
      </c>
      <c r="E1" s="112">
        <v>1</v>
      </c>
      <c r="F1" s="112">
        <v>1</v>
      </c>
      <c r="G1" s="112">
        <v>1</v>
      </c>
      <c r="H1" s="112">
        <v>1</v>
      </c>
      <c r="I1" s="112">
        <v>1</v>
      </c>
      <c r="J1" s="118">
        <v>2</v>
      </c>
      <c r="K1" s="118">
        <v>2</v>
      </c>
      <c r="L1" s="118">
        <v>2</v>
      </c>
      <c r="M1" s="118">
        <v>2</v>
      </c>
      <c r="N1" s="118">
        <v>2</v>
      </c>
      <c r="O1" s="118">
        <v>2</v>
      </c>
      <c r="P1" s="118">
        <v>2</v>
      </c>
      <c r="Q1" s="116">
        <v>3</v>
      </c>
      <c r="R1" s="116">
        <v>3</v>
      </c>
      <c r="S1" s="116">
        <v>3</v>
      </c>
      <c r="T1" s="116">
        <v>3</v>
      </c>
      <c r="U1" s="116">
        <v>3</v>
      </c>
      <c r="V1" s="116">
        <v>3</v>
      </c>
      <c r="W1" s="116">
        <v>3</v>
      </c>
      <c r="X1" s="117">
        <v>4</v>
      </c>
      <c r="Y1" s="117">
        <v>4</v>
      </c>
      <c r="Z1" s="117">
        <v>4</v>
      </c>
      <c r="AA1" s="117">
        <v>4</v>
      </c>
      <c r="AB1" s="117">
        <v>4</v>
      </c>
      <c r="AC1" s="117">
        <v>4</v>
      </c>
      <c r="AD1" s="117">
        <v>4</v>
      </c>
      <c r="AE1" s="118">
        <v>5</v>
      </c>
      <c r="AF1" s="118">
        <v>5</v>
      </c>
      <c r="AG1" s="118">
        <v>5</v>
      </c>
      <c r="AH1" s="118">
        <v>5</v>
      </c>
      <c r="AI1" s="118">
        <v>5</v>
      </c>
      <c r="AJ1" s="118">
        <v>5</v>
      </c>
      <c r="AK1" s="118">
        <v>5</v>
      </c>
      <c r="AL1" s="116">
        <v>6</v>
      </c>
      <c r="AM1" s="116">
        <v>6</v>
      </c>
      <c r="AN1" s="116">
        <v>6</v>
      </c>
      <c r="AO1" s="116">
        <v>6</v>
      </c>
      <c r="AP1" s="116">
        <v>6</v>
      </c>
      <c r="AQ1" s="116">
        <v>6</v>
      </c>
      <c r="AR1" s="116">
        <v>6</v>
      </c>
      <c r="AS1" s="117">
        <v>7</v>
      </c>
      <c r="AT1" s="117">
        <v>7</v>
      </c>
      <c r="AU1" s="117">
        <v>7</v>
      </c>
      <c r="AV1" s="117">
        <v>7</v>
      </c>
      <c r="AW1" s="117">
        <v>7</v>
      </c>
      <c r="AX1" s="117">
        <v>7</v>
      </c>
      <c r="AY1" s="117">
        <v>7</v>
      </c>
      <c r="AZ1" s="118">
        <v>8</v>
      </c>
      <c r="BA1" s="118">
        <v>8</v>
      </c>
      <c r="BB1" s="118">
        <v>8</v>
      </c>
      <c r="BC1" s="118">
        <v>8</v>
      </c>
      <c r="BD1" s="118">
        <v>8</v>
      </c>
      <c r="BE1" s="118">
        <v>8</v>
      </c>
      <c r="BF1" s="118">
        <v>8</v>
      </c>
      <c r="BG1" s="116">
        <v>9</v>
      </c>
      <c r="BH1" s="116">
        <v>9</v>
      </c>
      <c r="BI1" s="116">
        <v>9</v>
      </c>
      <c r="BJ1" s="116">
        <v>9</v>
      </c>
      <c r="BK1" s="116">
        <v>9</v>
      </c>
      <c r="BL1" s="116">
        <v>9</v>
      </c>
      <c r="BM1" s="116">
        <v>9</v>
      </c>
      <c r="BN1" s="117">
        <v>10</v>
      </c>
      <c r="BO1" s="117">
        <v>10</v>
      </c>
      <c r="BP1" s="117">
        <v>10</v>
      </c>
      <c r="BQ1" s="117">
        <v>10</v>
      </c>
      <c r="BR1" s="117">
        <v>10</v>
      </c>
      <c r="BS1" s="117">
        <v>10</v>
      </c>
      <c r="BT1" s="117">
        <v>10</v>
      </c>
      <c r="BU1" s="118">
        <v>11</v>
      </c>
      <c r="BV1" s="118">
        <v>11</v>
      </c>
      <c r="BW1" s="118">
        <v>11</v>
      </c>
      <c r="BX1" s="118">
        <v>11</v>
      </c>
      <c r="BY1" s="118">
        <v>11</v>
      </c>
      <c r="BZ1" s="118">
        <v>11</v>
      </c>
      <c r="CA1" s="118">
        <v>11</v>
      </c>
      <c r="CB1" s="116">
        <v>12</v>
      </c>
      <c r="CC1" s="116">
        <v>12</v>
      </c>
      <c r="CD1" s="116">
        <v>12</v>
      </c>
      <c r="CE1" s="116">
        <v>12</v>
      </c>
      <c r="CF1" s="116">
        <v>12</v>
      </c>
      <c r="CG1" s="116">
        <v>12</v>
      </c>
      <c r="CH1" s="116">
        <v>12</v>
      </c>
      <c r="CI1" s="117">
        <v>13</v>
      </c>
      <c r="CJ1" s="117">
        <v>13</v>
      </c>
      <c r="CK1" s="117">
        <v>13</v>
      </c>
      <c r="CL1" s="117">
        <v>13</v>
      </c>
      <c r="CM1" s="117">
        <v>13</v>
      </c>
      <c r="CN1" s="117">
        <v>13</v>
      </c>
      <c r="CO1" s="117">
        <v>13</v>
      </c>
      <c r="CP1" s="118">
        <v>14</v>
      </c>
      <c r="CQ1" s="118">
        <v>14</v>
      </c>
      <c r="CR1" s="118">
        <v>14</v>
      </c>
      <c r="CS1" s="118">
        <v>14</v>
      </c>
      <c r="CT1" s="118">
        <v>14</v>
      </c>
      <c r="CU1" s="118">
        <v>14</v>
      </c>
      <c r="CV1" s="118">
        <v>14</v>
      </c>
      <c r="CW1" s="116">
        <v>15</v>
      </c>
      <c r="CX1" s="116">
        <v>15</v>
      </c>
      <c r="CY1" s="116">
        <v>15</v>
      </c>
      <c r="CZ1" s="116">
        <v>15</v>
      </c>
      <c r="DA1" s="116">
        <v>15</v>
      </c>
      <c r="DB1" s="116">
        <v>15</v>
      </c>
      <c r="DC1" s="116">
        <v>15</v>
      </c>
      <c r="DD1" s="117">
        <v>16</v>
      </c>
      <c r="DE1" s="117">
        <v>16</v>
      </c>
      <c r="DF1" s="117">
        <v>16</v>
      </c>
      <c r="DG1" s="117">
        <v>16</v>
      </c>
      <c r="DH1" s="117">
        <v>16</v>
      </c>
      <c r="DI1" s="117">
        <v>16</v>
      </c>
      <c r="DJ1" s="117">
        <v>16</v>
      </c>
      <c r="DK1" s="118">
        <v>17</v>
      </c>
      <c r="DL1" s="118">
        <v>17</v>
      </c>
      <c r="DM1" s="118">
        <v>17</v>
      </c>
      <c r="DN1" s="118">
        <v>17</v>
      </c>
      <c r="DO1" s="118">
        <v>17</v>
      </c>
      <c r="DP1" s="118">
        <v>17</v>
      </c>
      <c r="DQ1" s="118">
        <v>17</v>
      </c>
      <c r="DR1" s="116">
        <v>18</v>
      </c>
      <c r="DS1" s="116">
        <v>18</v>
      </c>
      <c r="DT1" s="116">
        <v>18</v>
      </c>
      <c r="DU1" s="116">
        <v>18</v>
      </c>
      <c r="DV1" s="116">
        <v>18</v>
      </c>
      <c r="DW1" s="116">
        <v>18</v>
      </c>
      <c r="DX1" s="116">
        <v>18</v>
      </c>
      <c r="DY1" s="117">
        <v>19</v>
      </c>
      <c r="DZ1" s="117">
        <v>19</v>
      </c>
      <c r="EA1" s="117">
        <v>19</v>
      </c>
      <c r="EB1" s="117">
        <v>19</v>
      </c>
      <c r="EC1" s="117">
        <v>19</v>
      </c>
      <c r="ED1" s="117">
        <v>19</v>
      </c>
      <c r="EE1" s="117">
        <v>19</v>
      </c>
      <c r="EF1" s="118">
        <v>20</v>
      </c>
      <c r="EG1" s="118">
        <v>20</v>
      </c>
      <c r="EH1" s="118">
        <v>20</v>
      </c>
      <c r="EI1" s="118">
        <v>20</v>
      </c>
      <c r="EJ1" s="118">
        <v>20</v>
      </c>
      <c r="EK1" s="118">
        <v>20</v>
      </c>
      <c r="EL1" s="118">
        <v>20</v>
      </c>
      <c r="EM1" s="116">
        <v>21</v>
      </c>
      <c r="EN1" s="116">
        <v>21</v>
      </c>
      <c r="EO1" s="116">
        <v>21</v>
      </c>
      <c r="EP1" s="116">
        <v>21</v>
      </c>
      <c r="EQ1" s="116">
        <v>21</v>
      </c>
      <c r="ER1" s="116">
        <v>21</v>
      </c>
      <c r="ES1" s="116">
        <v>21</v>
      </c>
      <c r="ET1" s="117">
        <v>22</v>
      </c>
      <c r="EU1" s="117">
        <v>22</v>
      </c>
      <c r="EV1" s="117">
        <v>22</v>
      </c>
      <c r="EW1" s="117">
        <v>22</v>
      </c>
      <c r="EX1" s="117">
        <v>22</v>
      </c>
      <c r="EY1" s="117">
        <v>22</v>
      </c>
      <c r="EZ1" s="117">
        <v>22</v>
      </c>
      <c r="FA1" s="118">
        <v>23</v>
      </c>
      <c r="FB1" s="118">
        <v>23</v>
      </c>
      <c r="FC1" s="118">
        <v>23</v>
      </c>
      <c r="FD1" s="118">
        <v>23</v>
      </c>
      <c r="FE1" s="118">
        <v>23</v>
      </c>
      <c r="FF1" s="118">
        <v>23</v>
      </c>
      <c r="FG1" s="118">
        <v>23</v>
      </c>
      <c r="FH1" s="116">
        <v>24</v>
      </c>
      <c r="FI1" s="116">
        <v>24</v>
      </c>
      <c r="FJ1" s="116">
        <v>24</v>
      </c>
      <c r="FK1" s="116">
        <v>24</v>
      </c>
      <c r="FL1" s="116">
        <v>24</v>
      </c>
      <c r="FM1" s="116">
        <v>24</v>
      </c>
      <c r="FN1" s="116">
        <v>24</v>
      </c>
      <c r="FO1" s="117">
        <v>25</v>
      </c>
      <c r="FP1" s="117">
        <v>25</v>
      </c>
      <c r="FQ1" s="117">
        <v>25</v>
      </c>
      <c r="FR1" s="117">
        <v>25</v>
      </c>
      <c r="FS1" s="117">
        <v>25</v>
      </c>
      <c r="FT1" s="117">
        <v>25</v>
      </c>
      <c r="FU1" s="117">
        <v>25</v>
      </c>
      <c r="FV1" s="118">
        <v>26</v>
      </c>
      <c r="FW1" s="118">
        <v>26</v>
      </c>
      <c r="FX1" s="118">
        <v>26</v>
      </c>
      <c r="FY1" s="118">
        <v>26</v>
      </c>
      <c r="FZ1" s="118">
        <v>26</v>
      </c>
      <c r="GA1" s="118">
        <v>26</v>
      </c>
      <c r="GB1" s="118">
        <v>26</v>
      </c>
      <c r="GC1" s="116">
        <v>27</v>
      </c>
      <c r="GD1" s="116">
        <v>27</v>
      </c>
      <c r="GE1" s="116">
        <v>27</v>
      </c>
      <c r="GF1" s="116">
        <v>27</v>
      </c>
      <c r="GG1" s="116">
        <v>27</v>
      </c>
      <c r="GH1" s="116">
        <v>27</v>
      </c>
      <c r="GI1" s="116">
        <v>27</v>
      </c>
      <c r="GJ1" s="117">
        <v>28</v>
      </c>
      <c r="GK1" s="117">
        <v>28</v>
      </c>
      <c r="GL1" s="117">
        <v>28</v>
      </c>
      <c r="GM1" s="117">
        <v>28</v>
      </c>
      <c r="GN1" s="117">
        <v>28</v>
      </c>
      <c r="GO1" s="117">
        <v>28</v>
      </c>
      <c r="GP1" s="117">
        <v>28</v>
      </c>
      <c r="GQ1" s="118">
        <v>29</v>
      </c>
      <c r="GR1" s="118">
        <v>29</v>
      </c>
      <c r="GS1" s="118">
        <v>29</v>
      </c>
      <c r="GT1" s="118">
        <v>29</v>
      </c>
      <c r="GU1" s="118">
        <v>29</v>
      </c>
      <c r="GV1" s="118">
        <v>29</v>
      </c>
      <c r="GW1" s="118">
        <v>29</v>
      </c>
      <c r="GX1" s="116">
        <v>30</v>
      </c>
      <c r="GY1" s="116">
        <v>30</v>
      </c>
      <c r="GZ1" s="116">
        <v>30</v>
      </c>
      <c r="HA1" s="116">
        <v>30</v>
      </c>
      <c r="HB1" s="116">
        <v>30</v>
      </c>
      <c r="HC1" s="116">
        <v>30</v>
      </c>
      <c r="HD1" s="116">
        <v>30</v>
      </c>
      <c r="HE1" s="117">
        <v>31</v>
      </c>
      <c r="HF1" s="117">
        <v>31</v>
      </c>
      <c r="HG1" s="117">
        <v>31</v>
      </c>
      <c r="HH1" s="117">
        <v>31</v>
      </c>
      <c r="HI1" s="117">
        <v>31</v>
      </c>
      <c r="HJ1" s="117">
        <v>31</v>
      </c>
      <c r="HK1" s="117">
        <v>31</v>
      </c>
      <c r="HL1" s="117">
        <v>32</v>
      </c>
      <c r="HM1" s="117">
        <v>32</v>
      </c>
      <c r="HN1" s="117">
        <v>32</v>
      </c>
      <c r="HO1" s="117">
        <v>32</v>
      </c>
      <c r="HP1" s="117">
        <v>32</v>
      </c>
      <c r="HQ1" s="117">
        <v>32</v>
      </c>
      <c r="HR1" s="117">
        <v>32</v>
      </c>
      <c r="HS1" s="117">
        <v>33</v>
      </c>
      <c r="HT1" s="117">
        <v>33</v>
      </c>
      <c r="HU1" s="117">
        <v>33</v>
      </c>
      <c r="HV1" s="117">
        <v>33</v>
      </c>
      <c r="HW1" s="117">
        <v>33</v>
      </c>
      <c r="HX1" s="117">
        <v>33</v>
      </c>
      <c r="HY1" s="117">
        <v>33</v>
      </c>
      <c r="HZ1" s="117">
        <v>34</v>
      </c>
      <c r="IA1" s="117">
        <v>34</v>
      </c>
      <c r="IB1" s="117">
        <v>34</v>
      </c>
      <c r="IC1" s="117">
        <v>34</v>
      </c>
      <c r="ID1" s="117">
        <v>34</v>
      </c>
      <c r="IE1" s="117">
        <v>34</v>
      </c>
      <c r="IF1" s="117">
        <v>34</v>
      </c>
      <c r="IG1" s="118">
        <v>35</v>
      </c>
      <c r="IH1" s="118">
        <v>35</v>
      </c>
      <c r="II1" s="118">
        <v>35</v>
      </c>
      <c r="IJ1" s="118">
        <v>35</v>
      </c>
      <c r="IK1" s="118">
        <v>35</v>
      </c>
      <c r="IL1" s="118">
        <v>35</v>
      </c>
      <c r="IM1" s="118">
        <v>35</v>
      </c>
      <c r="IN1" s="116">
        <v>36</v>
      </c>
      <c r="IO1" s="116">
        <v>36</v>
      </c>
      <c r="IP1" s="116">
        <v>36</v>
      </c>
      <c r="IQ1" s="116">
        <v>36</v>
      </c>
      <c r="IR1" s="116">
        <v>36</v>
      </c>
      <c r="IS1" s="116">
        <v>36</v>
      </c>
      <c r="IT1" s="116">
        <v>36</v>
      </c>
      <c r="IU1" s="117">
        <v>37</v>
      </c>
      <c r="IV1" s="117">
        <v>37</v>
      </c>
      <c r="IW1" s="117">
        <v>37</v>
      </c>
      <c r="IX1" s="117">
        <v>37</v>
      </c>
      <c r="IY1" s="117">
        <v>37</v>
      </c>
      <c r="IZ1" s="117">
        <v>37</v>
      </c>
      <c r="JA1" s="117">
        <v>37</v>
      </c>
      <c r="JB1" s="118">
        <v>38</v>
      </c>
      <c r="JC1" s="118">
        <v>38</v>
      </c>
      <c r="JD1" s="118">
        <v>38</v>
      </c>
      <c r="JE1" s="118">
        <v>38</v>
      </c>
      <c r="JF1" s="118">
        <v>38</v>
      </c>
      <c r="JG1" s="118">
        <v>38</v>
      </c>
      <c r="JH1" s="118">
        <v>38</v>
      </c>
      <c r="JI1" s="116">
        <v>39</v>
      </c>
      <c r="JJ1" s="116">
        <v>39</v>
      </c>
      <c r="JK1" s="116">
        <v>39</v>
      </c>
      <c r="JL1" s="116">
        <v>39</v>
      </c>
      <c r="JM1" s="116">
        <v>39</v>
      </c>
      <c r="JN1" s="116">
        <v>39</v>
      </c>
      <c r="JO1" s="116">
        <v>39</v>
      </c>
      <c r="JP1" s="117">
        <v>40</v>
      </c>
      <c r="JQ1" s="117">
        <v>40</v>
      </c>
      <c r="JR1" s="117">
        <v>40</v>
      </c>
      <c r="JS1" s="117">
        <v>40</v>
      </c>
      <c r="JT1" s="117">
        <v>40</v>
      </c>
      <c r="JU1" s="117">
        <v>40</v>
      </c>
      <c r="JV1" s="117">
        <v>40</v>
      </c>
      <c r="JW1" s="118">
        <v>41</v>
      </c>
      <c r="JX1" s="118">
        <v>41</v>
      </c>
      <c r="JY1" s="118">
        <v>41</v>
      </c>
      <c r="JZ1" s="118">
        <v>41</v>
      </c>
      <c r="KA1" s="118">
        <v>41</v>
      </c>
      <c r="KB1" s="118">
        <v>41</v>
      </c>
      <c r="KC1" s="118">
        <v>41</v>
      </c>
      <c r="KD1" s="116">
        <v>42</v>
      </c>
      <c r="KE1" s="116">
        <v>42</v>
      </c>
      <c r="KF1" s="116">
        <v>42</v>
      </c>
      <c r="KG1" s="116">
        <v>42</v>
      </c>
      <c r="KH1" s="116">
        <v>42</v>
      </c>
      <c r="KI1" s="116">
        <v>42</v>
      </c>
      <c r="KJ1" s="116">
        <v>42</v>
      </c>
      <c r="KK1" s="117">
        <v>43</v>
      </c>
      <c r="KL1" s="117">
        <v>43</v>
      </c>
      <c r="KM1" s="117">
        <v>43</v>
      </c>
      <c r="KN1" s="117">
        <v>43</v>
      </c>
      <c r="KO1" s="117">
        <v>43</v>
      </c>
      <c r="KP1" s="117">
        <v>43</v>
      </c>
      <c r="KQ1" s="117">
        <v>43</v>
      </c>
      <c r="KR1" s="118">
        <v>44</v>
      </c>
      <c r="KS1" s="118">
        <v>44</v>
      </c>
      <c r="KT1" s="118">
        <v>44</v>
      </c>
      <c r="KU1" s="118">
        <v>44</v>
      </c>
      <c r="KV1" s="118">
        <v>44</v>
      </c>
      <c r="KW1" s="118">
        <v>44</v>
      </c>
      <c r="KX1" s="118">
        <v>44</v>
      </c>
      <c r="KY1" s="116">
        <v>45</v>
      </c>
      <c r="KZ1" s="116">
        <v>45</v>
      </c>
      <c r="LA1" s="116">
        <v>45</v>
      </c>
      <c r="LB1" s="116">
        <v>45</v>
      </c>
      <c r="LC1" s="116">
        <v>45</v>
      </c>
      <c r="LD1" s="116">
        <v>45</v>
      </c>
      <c r="LE1" s="116">
        <v>45</v>
      </c>
      <c r="LF1" s="117">
        <v>46</v>
      </c>
      <c r="LG1" s="117">
        <v>46</v>
      </c>
      <c r="LH1" s="117">
        <v>46</v>
      </c>
      <c r="LI1" s="117">
        <v>46</v>
      </c>
      <c r="LJ1" s="117">
        <v>46</v>
      </c>
      <c r="LK1" s="117">
        <v>46</v>
      </c>
      <c r="LL1" s="117">
        <v>46</v>
      </c>
      <c r="LM1" s="118">
        <v>47</v>
      </c>
      <c r="LN1" s="118">
        <v>47</v>
      </c>
      <c r="LO1" s="118">
        <v>47</v>
      </c>
      <c r="LP1" s="118">
        <v>47</v>
      </c>
      <c r="LQ1" s="118">
        <v>47</v>
      </c>
      <c r="LR1" s="118">
        <v>47</v>
      </c>
      <c r="LS1" s="118">
        <v>47</v>
      </c>
      <c r="LT1" s="116">
        <v>48</v>
      </c>
      <c r="LU1" s="116">
        <v>48</v>
      </c>
      <c r="LV1" s="116">
        <v>48</v>
      </c>
      <c r="LW1" s="116">
        <v>48</v>
      </c>
      <c r="LX1" s="116">
        <v>48</v>
      </c>
      <c r="LY1" s="116">
        <v>48</v>
      </c>
      <c r="LZ1" s="116">
        <v>48</v>
      </c>
      <c r="MA1" s="117">
        <v>49</v>
      </c>
      <c r="MB1" s="117">
        <v>49</v>
      </c>
      <c r="MC1" s="117">
        <v>49</v>
      </c>
      <c r="MD1" s="117">
        <v>49</v>
      </c>
      <c r="ME1" s="117">
        <v>49</v>
      </c>
      <c r="MF1" s="117">
        <v>49</v>
      </c>
      <c r="MG1" s="117">
        <v>49</v>
      </c>
      <c r="MH1" s="118">
        <v>50</v>
      </c>
      <c r="MI1" s="118">
        <v>50</v>
      </c>
      <c r="MJ1" s="118">
        <v>50</v>
      </c>
      <c r="MK1" s="118">
        <v>50</v>
      </c>
      <c r="ML1" s="118">
        <v>50</v>
      </c>
      <c r="MM1" s="118">
        <v>50</v>
      </c>
      <c r="MN1" s="118">
        <v>50</v>
      </c>
      <c r="MO1" s="116">
        <v>51</v>
      </c>
      <c r="MP1" s="116">
        <v>51</v>
      </c>
      <c r="MQ1" s="116">
        <v>51</v>
      </c>
      <c r="MR1" s="116">
        <v>51</v>
      </c>
      <c r="MS1" s="116">
        <v>51</v>
      </c>
      <c r="MT1" s="116">
        <v>51</v>
      </c>
      <c r="MU1" s="116">
        <v>51</v>
      </c>
      <c r="MV1" s="117">
        <v>52</v>
      </c>
      <c r="MW1" s="117">
        <v>52</v>
      </c>
      <c r="MX1" s="117">
        <v>52</v>
      </c>
      <c r="MY1" s="117">
        <v>52</v>
      </c>
      <c r="MZ1" s="117">
        <v>52</v>
      </c>
      <c r="NA1" s="117">
        <v>52</v>
      </c>
      <c r="NB1" s="117">
        <v>52</v>
      </c>
      <c r="NC1" s="118">
        <v>53</v>
      </c>
      <c r="ND1" s="118">
        <v>53</v>
      </c>
      <c r="NE1" s="118">
        <v>53</v>
      </c>
      <c r="NF1" s="118">
        <v>53</v>
      </c>
      <c r="NG1" s="118">
        <v>53</v>
      </c>
      <c r="NH1" s="118">
        <v>53</v>
      </c>
      <c r="NI1" s="118">
        <v>53</v>
      </c>
    </row>
    <row r="2" spans="1:1067" ht="16" thickBot="1" x14ac:dyDescent="0.25">
      <c r="A2" s="115" t="s">
        <v>0</v>
      </c>
      <c r="B2" s="124">
        <v>44192</v>
      </c>
      <c r="C2" s="124">
        <v>44193</v>
      </c>
      <c r="D2" s="124">
        <v>44194</v>
      </c>
      <c r="E2" s="124">
        <v>44195</v>
      </c>
      <c r="F2" s="124">
        <v>44196</v>
      </c>
      <c r="G2" s="124">
        <v>44197</v>
      </c>
      <c r="H2" s="124">
        <v>44198</v>
      </c>
      <c r="I2" s="124">
        <v>44199</v>
      </c>
      <c r="J2" s="124">
        <v>44200</v>
      </c>
      <c r="K2" s="124">
        <v>44201</v>
      </c>
      <c r="L2" s="124">
        <v>44202</v>
      </c>
      <c r="M2" s="124">
        <v>44203</v>
      </c>
      <c r="N2" s="124">
        <v>44204</v>
      </c>
      <c r="O2" s="124">
        <v>44205</v>
      </c>
      <c r="P2" s="124">
        <v>44206</v>
      </c>
      <c r="Q2" s="124">
        <v>44207</v>
      </c>
      <c r="R2" s="124">
        <v>44208</v>
      </c>
      <c r="S2" s="124">
        <v>44209</v>
      </c>
      <c r="T2" s="124">
        <v>44210</v>
      </c>
      <c r="U2" s="124">
        <v>44211</v>
      </c>
      <c r="V2" s="124">
        <v>44212</v>
      </c>
      <c r="W2" s="124">
        <v>44213</v>
      </c>
      <c r="X2" s="124">
        <v>44214</v>
      </c>
      <c r="Y2" s="124">
        <v>44215</v>
      </c>
      <c r="Z2" s="124">
        <v>44216</v>
      </c>
      <c r="AA2" s="124">
        <v>44217</v>
      </c>
      <c r="AB2" s="124">
        <v>44218</v>
      </c>
      <c r="AC2" s="124">
        <v>44219</v>
      </c>
      <c r="AD2" s="124">
        <v>44220</v>
      </c>
      <c r="AE2" s="124">
        <v>44221</v>
      </c>
      <c r="AF2" s="124">
        <v>44222</v>
      </c>
      <c r="AG2" s="124">
        <v>44223</v>
      </c>
      <c r="AH2" s="124">
        <v>44224</v>
      </c>
      <c r="AI2" s="124">
        <v>44225</v>
      </c>
      <c r="AJ2" s="124">
        <v>44226</v>
      </c>
      <c r="AK2" s="124">
        <v>44227</v>
      </c>
      <c r="AL2" s="124">
        <v>44228</v>
      </c>
      <c r="AM2" s="124">
        <v>44229</v>
      </c>
      <c r="AN2" s="124">
        <v>44230</v>
      </c>
      <c r="AO2" s="124">
        <v>44231</v>
      </c>
      <c r="AP2" s="124">
        <v>44232</v>
      </c>
      <c r="AQ2" s="124">
        <v>44233</v>
      </c>
      <c r="AR2" s="124">
        <v>44234</v>
      </c>
      <c r="AS2" s="124">
        <v>44235</v>
      </c>
      <c r="AT2" s="124">
        <v>44236</v>
      </c>
      <c r="AU2" s="124">
        <v>44237</v>
      </c>
      <c r="AV2" s="124">
        <v>44238</v>
      </c>
      <c r="AW2" s="124">
        <v>44239</v>
      </c>
      <c r="AX2" s="124">
        <v>44240</v>
      </c>
      <c r="AY2" s="124">
        <v>44241</v>
      </c>
      <c r="AZ2" s="124">
        <v>44242</v>
      </c>
      <c r="BA2" s="124">
        <v>44243</v>
      </c>
      <c r="BB2" s="124">
        <v>44244</v>
      </c>
      <c r="BC2" s="124">
        <v>44245</v>
      </c>
      <c r="BD2" s="124">
        <v>44246</v>
      </c>
      <c r="BE2" s="124">
        <v>44247</v>
      </c>
      <c r="BF2" s="124">
        <v>44248</v>
      </c>
      <c r="BG2" s="124">
        <v>44249</v>
      </c>
      <c r="BH2" s="124">
        <v>44250</v>
      </c>
      <c r="BI2" s="124">
        <v>44251</v>
      </c>
      <c r="BJ2" s="124">
        <v>44252</v>
      </c>
      <c r="BK2" s="124">
        <v>44253</v>
      </c>
      <c r="BL2" s="124">
        <v>44254</v>
      </c>
      <c r="BM2" s="124">
        <v>44255</v>
      </c>
      <c r="BN2" s="124">
        <v>44256</v>
      </c>
      <c r="BO2" s="124">
        <v>44257</v>
      </c>
      <c r="BP2" s="124">
        <v>44258</v>
      </c>
      <c r="BQ2" s="124">
        <v>44259</v>
      </c>
      <c r="BR2" s="124">
        <v>44260</v>
      </c>
      <c r="BS2" s="124">
        <v>44261</v>
      </c>
      <c r="BT2" s="124">
        <v>44262</v>
      </c>
      <c r="BU2" s="124">
        <v>44263</v>
      </c>
      <c r="BV2" s="124">
        <v>44264</v>
      </c>
      <c r="BW2" s="124">
        <v>44265</v>
      </c>
      <c r="BX2" s="124">
        <v>44266</v>
      </c>
      <c r="BY2" s="124">
        <v>44267</v>
      </c>
      <c r="BZ2" s="124">
        <v>44268</v>
      </c>
      <c r="CA2" s="124">
        <v>44269</v>
      </c>
      <c r="CB2" s="124">
        <v>44270</v>
      </c>
      <c r="CC2" s="124">
        <v>44271</v>
      </c>
      <c r="CD2" s="124">
        <v>44272</v>
      </c>
      <c r="CE2" s="124">
        <v>44273</v>
      </c>
      <c r="CF2" s="124">
        <v>44274</v>
      </c>
      <c r="CG2" s="124">
        <v>44275</v>
      </c>
      <c r="CH2" s="124">
        <v>44276</v>
      </c>
      <c r="CI2" s="124">
        <v>44277</v>
      </c>
      <c r="CJ2" s="124">
        <v>44278</v>
      </c>
      <c r="CK2" s="124">
        <v>44279</v>
      </c>
      <c r="CL2" s="124">
        <v>44280</v>
      </c>
      <c r="CM2" s="124">
        <v>44281</v>
      </c>
      <c r="CN2" s="124">
        <v>44282</v>
      </c>
      <c r="CO2" s="124">
        <v>44283</v>
      </c>
      <c r="CP2" s="124">
        <v>44284</v>
      </c>
      <c r="CQ2" s="124">
        <v>44285</v>
      </c>
      <c r="CR2" s="124">
        <v>44286</v>
      </c>
      <c r="CS2" s="124">
        <v>44287</v>
      </c>
      <c r="CT2" s="124">
        <v>44288</v>
      </c>
      <c r="CU2" s="124">
        <v>44289</v>
      </c>
      <c r="CV2" s="124">
        <v>44290</v>
      </c>
      <c r="CW2" s="124">
        <v>44291</v>
      </c>
      <c r="CX2" s="124">
        <v>44292</v>
      </c>
      <c r="CY2" s="124">
        <v>44293</v>
      </c>
      <c r="CZ2" s="124">
        <v>44294</v>
      </c>
      <c r="DA2" s="124">
        <v>44295</v>
      </c>
      <c r="DB2" s="124">
        <v>44296</v>
      </c>
      <c r="DC2" s="124">
        <v>44297</v>
      </c>
      <c r="DD2" s="124">
        <v>44298</v>
      </c>
      <c r="DE2" s="124">
        <v>44299</v>
      </c>
      <c r="DF2" s="124">
        <v>44300</v>
      </c>
      <c r="DG2" s="124">
        <v>44301</v>
      </c>
      <c r="DH2" s="124">
        <v>44302</v>
      </c>
      <c r="DI2" s="124">
        <v>44303</v>
      </c>
      <c r="DJ2" s="124">
        <v>44304</v>
      </c>
      <c r="DK2" s="124">
        <v>44305</v>
      </c>
      <c r="DL2" s="124">
        <v>44306</v>
      </c>
      <c r="DM2" s="124">
        <v>44307</v>
      </c>
      <c r="DN2" s="124">
        <v>44308</v>
      </c>
      <c r="DO2" s="124">
        <v>44309</v>
      </c>
      <c r="DP2" s="124">
        <v>44310</v>
      </c>
      <c r="DQ2" s="124">
        <v>44311</v>
      </c>
      <c r="DR2" s="124">
        <v>44312</v>
      </c>
      <c r="DS2" s="124">
        <v>44313</v>
      </c>
      <c r="DT2" s="124">
        <v>44314</v>
      </c>
      <c r="DU2" s="124">
        <v>44315</v>
      </c>
      <c r="DV2" s="124">
        <v>44316</v>
      </c>
      <c r="DW2" s="124">
        <v>44317</v>
      </c>
      <c r="DX2" s="124">
        <v>44318</v>
      </c>
      <c r="DY2" s="124">
        <v>44319</v>
      </c>
      <c r="DZ2" s="124">
        <v>44320</v>
      </c>
      <c r="EA2" s="124">
        <v>44321</v>
      </c>
      <c r="EB2" s="124">
        <v>44322</v>
      </c>
      <c r="EC2" s="124">
        <v>44323</v>
      </c>
      <c r="ED2" s="124">
        <v>44324</v>
      </c>
      <c r="EE2" s="124">
        <v>44325</v>
      </c>
      <c r="EF2" s="124">
        <v>44326</v>
      </c>
      <c r="EG2" s="124">
        <v>44327</v>
      </c>
      <c r="EH2" s="124">
        <v>44328</v>
      </c>
      <c r="EI2" s="124">
        <v>44329</v>
      </c>
      <c r="EJ2" s="124">
        <v>44330</v>
      </c>
      <c r="EK2" s="124">
        <v>44331</v>
      </c>
      <c r="EL2" s="124">
        <v>44332</v>
      </c>
      <c r="EM2" s="124">
        <v>44333</v>
      </c>
      <c r="EN2" s="124">
        <v>44334</v>
      </c>
      <c r="EO2" s="124">
        <v>44335</v>
      </c>
      <c r="EP2" s="124">
        <v>44336</v>
      </c>
      <c r="EQ2" s="124">
        <v>44337</v>
      </c>
      <c r="ER2" s="124">
        <v>44338</v>
      </c>
      <c r="ES2" s="124">
        <v>44339</v>
      </c>
      <c r="ET2" s="124">
        <v>44340</v>
      </c>
      <c r="EU2" s="124">
        <v>44341</v>
      </c>
      <c r="EV2" s="124">
        <v>44342</v>
      </c>
      <c r="EW2" s="124">
        <v>44343</v>
      </c>
      <c r="EX2" s="124">
        <v>44344</v>
      </c>
      <c r="EY2" s="124">
        <v>44345</v>
      </c>
      <c r="EZ2" s="124">
        <v>44346</v>
      </c>
      <c r="FA2" s="124">
        <v>44347</v>
      </c>
      <c r="FB2" s="124">
        <v>44348</v>
      </c>
      <c r="FC2" s="124">
        <v>44349</v>
      </c>
      <c r="FD2" s="124">
        <v>44350</v>
      </c>
      <c r="FE2" s="124">
        <v>44351</v>
      </c>
      <c r="FF2" s="124">
        <v>44352</v>
      </c>
      <c r="FG2" s="124">
        <v>44353</v>
      </c>
      <c r="FH2" s="124">
        <v>44354</v>
      </c>
      <c r="FI2" s="124">
        <v>44355</v>
      </c>
      <c r="FJ2" s="124">
        <v>44356</v>
      </c>
      <c r="FK2" s="124">
        <v>44357</v>
      </c>
      <c r="FL2" s="124">
        <v>44358</v>
      </c>
      <c r="FM2" s="124">
        <v>44359</v>
      </c>
      <c r="FN2" s="124">
        <v>44360</v>
      </c>
      <c r="FO2" s="124">
        <v>44361</v>
      </c>
      <c r="FP2" s="124">
        <v>44362</v>
      </c>
      <c r="FQ2" s="124">
        <v>44363</v>
      </c>
      <c r="FR2" s="124">
        <v>44364</v>
      </c>
      <c r="FS2" s="124">
        <v>44365</v>
      </c>
      <c r="FT2" s="124">
        <v>44366</v>
      </c>
      <c r="FU2" s="124">
        <v>44367</v>
      </c>
      <c r="FV2" s="124">
        <v>44368</v>
      </c>
      <c r="FW2" s="124">
        <v>44369</v>
      </c>
      <c r="FX2" s="124">
        <v>44370</v>
      </c>
      <c r="FY2" s="124">
        <v>44371</v>
      </c>
      <c r="FZ2" s="124">
        <v>44372</v>
      </c>
      <c r="GA2" s="124">
        <v>44373</v>
      </c>
      <c r="GB2" s="124">
        <v>44374</v>
      </c>
      <c r="GC2" s="124">
        <v>44375</v>
      </c>
      <c r="GD2" s="124">
        <v>44376</v>
      </c>
      <c r="GE2" s="124">
        <v>44377</v>
      </c>
      <c r="GF2" s="124">
        <v>44378</v>
      </c>
      <c r="GG2" s="124">
        <v>44379</v>
      </c>
      <c r="GH2" s="124">
        <v>44380</v>
      </c>
      <c r="GI2" s="124">
        <v>44381</v>
      </c>
      <c r="GJ2" s="124">
        <v>44382</v>
      </c>
      <c r="GK2" s="124">
        <v>44383</v>
      </c>
      <c r="GL2" s="124">
        <v>44384</v>
      </c>
      <c r="GM2" s="124">
        <v>44385</v>
      </c>
      <c r="GN2" s="124">
        <v>44386</v>
      </c>
      <c r="GO2" s="124">
        <v>44387</v>
      </c>
      <c r="GP2" s="124">
        <v>44388</v>
      </c>
      <c r="GQ2" s="124">
        <v>44389</v>
      </c>
      <c r="GR2" s="124">
        <v>44390</v>
      </c>
      <c r="GS2" s="124">
        <v>44391</v>
      </c>
      <c r="GT2" s="124">
        <v>44392</v>
      </c>
      <c r="GU2" s="124">
        <v>44393</v>
      </c>
      <c r="GV2" s="124">
        <v>44394</v>
      </c>
      <c r="GW2" s="124">
        <v>44395</v>
      </c>
      <c r="GX2" s="124">
        <v>44396</v>
      </c>
      <c r="GY2" s="124">
        <v>44397</v>
      </c>
      <c r="GZ2" s="124">
        <v>44398</v>
      </c>
      <c r="HA2" s="124">
        <v>44399</v>
      </c>
      <c r="HB2" s="124">
        <v>44400</v>
      </c>
      <c r="HC2" s="124">
        <v>44401</v>
      </c>
      <c r="HD2" s="124">
        <v>44402</v>
      </c>
      <c r="HE2" s="124">
        <v>44403</v>
      </c>
      <c r="HF2" s="124">
        <v>44404</v>
      </c>
      <c r="HG2" s="124">
        <v>44405</v>
      </c>
      <c r="HH2" s="124">
        <v>44406</v>
      </c>
      <c r="HI2" s="124">
        <v>44407</v>
      </c>
      <c r="HJ2" s="124">
        <v>44408</v>
      </c>
      <c r="HK2" s="124">
        <v>44409</v>
      </c>
      <c r="HL2" s="124">
        <v>44410</v>
      </c>
      <c r="HM2" s="124">
        <v>44411</v>
      </c>
      <c r="HN2" s="124">
        <v>44412</v>
      </c>
      <c r="HO2" s="124">
        <v>44413</v>
      </c>
      <c r="HP2" s="124">
        <v>44414</v>
      </c>
      <c r="HQ2" s="124">
        <v>44415</v>
      </c>
      <c r="HR2" s="124">
        <v>44416</v>
      </c>
      <c r="HS2" s="124">
        <v>44417</v>
      </c>
      <c r="HT2" s="124">
        <v>44418</v>
      </c>
      <c r="HU2" s="124">
        <v>44419</v>
      </c>
      <c r="HV2" s="124">
        <v>44420</v>
      </c>
      <c r="HW2" s="124">
        <v>44421</v>
      </c>
      <c r="HX2" s="124">
        <v>44422</v>
      </c>
      <c r="HY2" s="124">
        <v>44423</v>
      </c>
      <c r="HZ2" s="124">
        <v>44424</v>
      </c>
      <c r="IA2" s="124">
        <v>44425</v>
      </c>
      <c r="IB2" s="124">
        <v>44426</v>
      </c>
      <c r="IC2" s="124">
        <v>44427</v>
      </c>
      <c r="ID2" s="124">
        <v>44428</v>
      </c>
      <c r="IE2" s="124">
        <v>44429</v>
      </c>
      <c r="IF2" s="124">
        <v>44430</v>
      </c>
      <c r="IG2" s="124">
        <v>44431</v>
      </c>
      <c r="IH2" s="124">
        <v>44432</v>
      </c>
      <c r="II2" s="124">
        <v>44433</v>
      </c>
      <c r="IJ2" s="124">
        <v>44434</v>
      </c>
      <c r="IK2" s="124">
        <v>44435</v>
      </c>
      <c r="IL2" s="124">
        <v>44436</v>
      </c>
      <c r="IM2" s="124">
        <v>44437</v>
      </c>
      <c r="IN2" s="124">
        <v>44438</v>
      </c>
      <c r="IO2" s="124">
        <v>44439</v>
      </c>
      <c r="IP2" s="124">
        <v>44440</v>
      </c>
      <c r="IQ2" s="124">
        <v>44441</v>
      </c>
      <c r="IR2" s="124">
        <v>44442</v>
      </c>
      <c r="IS2" s="124">
        <v>44443</v>
      </c>
      <c r="IT2" s="124">
        <v>44444</v>
      </c>
      <c r="IU2" s="124">
        <v>44445</v>
      </c>
      <c r="IV2" s="124">
        <v>44446</v>
      </c>
      <c r="IW2" s="124">
        <v>44447</v>
      </c>
      <c r="IX2" s="124">
        <v>44448</v>
      </c>
      <c r="IY2" s="124">
        <v>44449</v>
      </c>
      <c r="IZ2" s="124">
        <v>44450</v>
      </c>
      <c r="JA2" s="124">
        <v>44451</v>
      </c>
      <c r="JB2" s="124">
        <v>44452</v>
      </c>
      <c r="JC2" s="124">
        <v>44453</v>
      </c>
      <c r="JD2" s="124">
        <v>44454</v>
      </c>
      <c r="JE2" s="124">
        <v>44455</v>
      </c>
      <c r="JF2" s="124">
        <v>44456</v>
      </c>
      <c r="JG2" s="124">
        <v>44457</v>
      </c>
      <c r="JH2" s="124">
        <v>44458</v>
      </c>
      <c r="JI2" s="124">
        <v>44459</v>
      </c>
      <c r="JJ2" s="124">
        <v>44460</v>
      </c>
      <c r="JK2" s="124">
        <v>44461</v>
      </c>
      <c r="JL2" s="124">
        <v>44462</v>
      </c>
      <c r="JM2" s="124">
        <v>44463</v>
      </c>
      <c r="JN2" s="124">
        <v>44464</v>
      </c>
      <c r="JO2" s="124">
        <v>44465</v>
      </c>
      <c r="JP2" s="124">
        <v>44466</v>
      </c>
      <c r="JQ2" s="124">
        <v>44467</v>
      </c>
      <c r="JR2" s="124">
        <v>44468</v>
      </c>
      <c r="JS2" s="124">
        <v>44469</v>
      </c>
      <c r="JT2" s="124">
        <v>44470</v>
      </c>
      <c r="JU2" s="124">
        <v>44471</v>
      </c>
      <c r="JV2" s="124">
        <v>44472</v>
      </c>
      <c r="JW2" s="124">
        <v>44473</v>
      </c>
      <c r="JX2" s="124">
        <v>44474</v>
      </c>
      <c r="JY2" s="124">
        <v>44475</v>
      </c>
      <c r="JZ2" s="124">
        <v>44476</v>
      </c>
      <c r="KA2" s="124">
        <v>44477</v>
      </c>
      <c r="KB2" s="124">
        <v>44478</v>
      </c>
      <c r="KC2" s="124">
        <v>44479</v>
      </c>
      <c r="KD2" s="124">
        <v>44480</v>
      </c>
      <c r="KE2" s="124">
        <v>44481</v>
      </c>
      <c r="KF2" s="124">
        <v>44482</v>
      </c>
      <c r="KG2" s="124">
        <v>44483</v>
      </c>
      <c r="KH2" s="124">
        <v>44484</v>
      </c>
      <c r="KI2" s="124">
        <v>44485</v>
      </c>
      <c r="KJ2" s="124">
        <v>44486</v>
      </c>
      <c r="KK2" s="124">
        <v>44487</v>
      </c>
      <c r="KL2" s="124">
        <v>44488</v>
      </c>
      <c r="KM2" s="124">
        <v>44489</v>
      </c>
      <c r="KN2" s="124">
        <v>44490</v>
      </c>
      <c r="KO2" s="124">
        <v>44491</v>
      </c>
      <c r="KP2" s="124">
        <v>44492</v>
      </c>
      <c r="KQ2" s="124">
        <v>44493</v>
      </c>
      <c r="KR2" s="124">
        <v>44494</v>
      </c>
      <c r="KS2" s="124">
        <v>44495</v>
      </c>
      <c r="KT2" s="124">
        <v>44496</v>
      </c>
      <c r="KU2" s="124">
        <v>44497</v>
      </c>
      <c r="KV2" s="124">
        <v>44498</v>
      </c>
      <c r="KW2" s="124">
        <v>44499</v>
      </c>
      <c r="KX2" s="124">
        <v>44500</v>
      </c>
      <c r="KY2" s="124">
        <v>44501</v>
      </c>
      <c r="KZ2" s="124">
        <v>44502</v>
      </c>
      <c r="LA2" s="124">
        <v>44503</v>
      </c>
      <c r="LB2" s="124">
        <v>44504</v>
      </c>
      <c r="LC2" s="124">
        <v>44505</v>
      </c>
      <c r="LD2" s="124">
        <v>44506</v>
      </c>
      <c r="LE2" s="124">
        <v>44507</v>
      </c>
      <c r="LF2" s="124">
        <v>44508</v>
      </c>
      <c r="LG2" s="124">
        <v>44509</v>
      </c>
      <c r="LH2" s="124">
        <v>44510</v>
      </c>
      <c r="LI2" s="124">
        <v>44511</v>
      </c>
      <c r="LJ2" s="124">
        <v>44512</v>
      </c>
      <c r="LK2" s="124">
        <v>44513</v>
      </c>
      <c r="LL2" s="124">
        <v>44514</v>
      </c>
      <c r="LM2" s="124">
        <v>44515</v>
      </c>
      <c r="LN2" s="124">
        <v>44516</v>
      </c>
      <c r="LO2" s="124">
        <v>44517</v>
      </c>
      <c r="LP2" s="124">
        <v>44518</v>
      </c>
      <c r="LQ2" s="124">
        <v>44519</v>
      </c>
      <c r="LR2" s="124">
        <v>44520</v>
      </c>
      <c r="LS2" s="124">
        <v>44521</v>
      </c>
      <c r="LT2" s="124">
        <v>44522</v>
      </c>
      <c r="LU2" s="124">
        <v>44523</v>
      </c>
      <c r="LV2" s="124">
        <v>44524</v>
      </c>
      <c r="LW2" s="124">
        <v>44525</v>
      </c>
      <c r="LX2" s="124">
        <v>44526</v>
      </c>
      <c r="LY2" s="124">
        <v>44527</v>
      </c>
      <c r="LZ2" s="124">
        <v>44528</v>
      </c>
      <c r="MA2" s="124">
        <v>44529</v>
      </c>
      <c r="MB2" s="124">
        <v>44530</v>
      </c>
      <c r="MC2" s="124">
        <v>44531</v>
      </c>
      <c r="MD2" s="124">
        <v>44532</v>
      </c>
      <c r="ME2" s="124">
        <v>44533</v>
      </c>
      <c r="MF2" s="124">
        <v>44534</v>
      </c>
      <c r="MG2" s="124">
        <v>44535</v>
      </c>
      <c r="MH2" s="124">
        <v>44536</v>
      </c>
      <c r="MI2" s="124">
        <v>44537</v>
      </c>
      <c r="MJ2" s="124">
        <v>44538</v>
      </c>
      <c r="MK2" s="124">
        <v>44539</v>
      </c>
      <c r="ML2" s="124">
        <v>44540</v>
      </c>
      <c r="MM2" s="124">
        <v>44541</v>
      </c>
      <c r="MN2" s="124">
        <v>44542</v>
      </c>
      <c r="MO2" s="124">
        <v>44543</v>
      </c>
      <c r="MP2" s="124">
        <v>44544</v>
      </c>
      <c r="MQ2" s="124">
        <v>44545</v>
      </c>
      <c r="MR2" s="124">
        <v>44546</v>
      </c>
      <c r="MS2" s="124">
        <v>44547</v>
      </c>
      <c r="MT2" s="124">
        <v>44548</v>
      </c>
      <c r="MU2" s="124">
        <v>44549</v>
      </c>
      <c r="MV2" s="124">
        <v>44550</v>
      </c>
      <c r="MW2" s="124">
        <v>44551</v>
      </c>
      <c r="MX2" s="124">
        <v>44552</v>
      </c>
      <c r="MY2" s="124">
        <v>44553</v>
      </c>
      <c r="MZ2" s="124">
        <v>44554</v>
      </c>
      <c r="NA2" s="124">
        <v>44555</v>
      </c>
      <c r="NB2" s="124">
        <v>44556</v>
      </c>
      <c r="NC2" s="124">
        <v>44557</v>
      </c>
      <c r="ND2" s="124">
        <v>44558</v>
      </c>
      <c r="NE2" s="124">
        <v>44559</v>
      </c>
      <c r="NF2" s="124">
        <v>44560</v>
      </c>
      <c r="NG2" s="124">
        <v>44561</v>
      </c>
      <c r="NH2" s="124">
        <v>44562</v>
      </c>
      <c r="NI2" s="124">
        <v>44563</v>
      </c>
      <c r="NJ2" s="123"/>
      <c r="NK2" s="123"/>
      <c r="NL2" s="123"/>
      <c r="NM2" s="123"/>
      <c r="NN2" s="123"/>
      <c r="NO2" s="123"/>
      <c r="NP2" s="123"/>
      <c r="NQ2" s="123"/>
      <c r="NR2" s="123"/>
      <c r="NS2" s="123"/>
      <c r="NT2" s="123"/>
      <c r="NU2" s="123"/>
      <c r="NV2" s="123"/>
      <c r="NW2" s="123"/>
      <c r="NX2" s="123"/>
      <c r="NY2" s="123"/>
      <c r="NZ2" s="123"/>
      <c r="OA2" s="123"/>
      <c r="OB2" s="123"/>
      <c r="OC2" s="123"/>
      <c r="OD2" s="123"/>
      <c r="OE2" s="123"/>
      <c r="OF2" s="123"/>
      <c r="OG2" s="123"/>
      <c r="OH2" s="123"/>
      <c r="OI2" s="123"/>
      <c r="OJ2" s="123"/>
      <c r="OK2" s="123"/>
      <c r="OL2" s="123"/>
      <c r="OM2" s="123"/>
      <c r="ON2" s="123"/>
      <c r="OO2" s="123"/>
      <c r="OP2" s="123"/>
      <c r="OQ2" s="123"/>
      <c r="OR2" s="123"/>
      <c r="OS2" s="123"/>
      <c r="OT2" s="123"/>
      <c r="OU2" s="123"/>
      <c r="OV2" s="123"/>
      <c r="OW2" s="123"/>
      <c r="OX2" s="123"/>
      <c r="OY2" s="123"/>
      <c r="OZ2" s="123"/>
      <c r="PA2" s="123"/>
      <c r="PB2" s="123"/>
      <c r="PC2" s="123"/>
      <c r="PD2" s="123"/>
      <c r="PE2" s="123"/>
      <c r="PF2" s="123"/>
      <c r="PG2" s="123"/>
      <c r="PH2" s="123"/>
      <c r="PI2" s="123"/>
      <c r="PJ2" s="123"/>
      <c r="PK2" s="123"/>
      <c r="PL2" s="123"/>
      <c r="PM2" s="123"/>
      <c r="PN2" s="123"/>
      <c r="PO2" s="123"/>
      <c r="PP2" s="123"/>
      <c r="PQ2" s="123"/>
      <c r="PR2" s="123"/>
      <c r="PS2" s="123"/>
      <c r="PT2" s="123"/>
      <c r="PU2" s="123"/>
      <c r="PV2" s="123"/>
      <c r="PW2" s="123"/>
      <c r="PX2" s="123"/>
      <c r="PY2" s="123"/>
      <c r="PZ2" s="123"/>
      <c r="QA2" s="123"/>
      <c r="QB2" s="123"/>
      <c r="QC2" s="123"/>
      <c r="QD2" s="123"/>
      <c r="QE2" s="123"/>
      <c r="QF2" s="123"/>
      <c r="QG2" s="123"/>
      <c r="QH2" s="123"/>
      <c r="QI2" s="123"/>
      <c r="QJ2" s="123"/>
      <c r="QK2" s="123"/>
      <c r="QL2" s="123"/>
      <c r="QM2" s="123"/>
      <c r="QN2" s="123"/>
      <c r="QO2" s="123"/>
      <c r="QP2" s="123"/>
      <c r="QQ2" s="123"/>
      <c r="QR2" s="123"/>
      <c r="QS2" s="123"/>
      <c r="QT2" s="123"/>
      <c r="QU2" s="123"/>
      <c r="QV2" s="123"/>
      <c r="QW2" s="123"/>
      <c r="QX2" s="123"/>
      <c r="QY2" s="123"/>
      <c r="QZ2" s="123"/>
      <c r="RA2" s="123"/>
      <c r="RB2" s="123"/>
      <c r="RC2" s="123"/>
      <c r="RD2" s="123"/>
      <c r="RE2" s="123"/>
      <c r="RF2" s="123"/>
      <c r="RG2" s="123"/>
      <c r="RH2" s="123"/>
      <c r="RI2" s="123"/>
      <c r="RJ2" s="123"/>
      <c r="RK2" s="123"/>
      <c r="RL2" s="123"/>
      <c r="RM2" s="123"/>
      <c r="RN2" s="123"/>
      <c r="RO2" s="123"/>
      <c r="RP2" s="123"/>
      <c r="RQ2" s="123"/>
      <c r="RR2" s="123"/>
      <c r="RS2" s="123"/>
      <c r="RT2" s="123"/>
      <c r="RU2" s="123"/>
      <c r="RV2" s="123"/>
      <c r="RW2" s="123"/>
      <c r="RX2" s="123"/>
      <c r="RY2" s="123"/>
      <c r="RZ2" s="123"/>
      <c r="SA2" s="123"/>
      <c r="SB2" s="123"/>
      <c r="SC2" s="123"/>
      <c r="SD2" s="123"/>
      <c r="SE2" s="123"/>
      <c r="SF2" s="123"/>
      <c r="SG2" s="123"/>
      <c r="SH2" s="123"/>
      <c r="SI2" s="123"/>
      <c r="SJ2" s="123"/>
      <c r="SK2" s="123"/>
      <c r="SL2" s="123"/>
      <c r="SM2" s="123"/>
      <c r="SN2" s="123"/>
      <c r="SO2" s="123"/>
      <c r="SP2" s="123"/>
      <c r="SQ2" s="123"/>
      <c r="SR2" s="123"/>
      <c r="SS2" s="123"/>
      <c r="ST2" s="123"/>
      <c r="SU2" s="123"/>
      <c r="SV2" s="123"/>
      <c r="SW2" s="123"/>
      <c r="SX2" s="123"/>
      <c r="SY2" s="123"/>
      <c r="SZ2" s="123"/>
      <c r="TA2" s="123"/>
      <c r="TB2" s="123"/>
      <c r="TC2" s="123"/>
      <c r="TD2" s="123"/>
      <c r="TE2" s="123"/>
      <c r="TF2" s="123"/>
      <c r="TG2" s="123"/>
      <c r="TH2" s="123"/>
      <c r="TI2" s="123"/>
      <c r="TJ2" s="123"/>
      <c r="TK2" s="123"/>
      <c r="TL2" s="123"/>
      <c r="TM2" s="123"/>
      <c r="TN2" s="123"/>
      <c r="TO2" s="123"/>
      <c r="TP2" s="123"/>
      <c r="TQ2" s="123"/>
      <c r="TR2" s="123"/>
      <c r="TS2" s="123"/>
      <c r="TT2" s="123"/>
      <c r="TU2" s="123"/>
      <c r="TV2" s="123"/>
      <c r="TW2" s="123"/>
      <c r="TX2" s="123"/>
      <c r="TY2" s="123"/>
      <c r="TZ2" s="123"/>
      <c r="UA2" s="123"/>
      <c r="UB2" s="123"/>
      <c r="UC2" s="123"/>
      <c r="UD2" s="123"/>
      <c r="UE2" s="123"/>
      <c r="UF2" s="123"/>
      <c r="UG2" s="123"/>
      <c r="UH2" s="123"/>
      <c r="UI2" s="123"/>
      <c r="UJ2" s="123"/>
      <c r="UK2" s="123"/>
      <c r="UL2" s="123"/>
      <c r="UM2" s="123"/>
      <c r="UN2" s="123"/>
      <c r="UO2" s="123"/>
      <c r="UP2" s="123"/>
      <c r="UQ2" s="123"/>
      <c r="UR2" s="123"/>
      <c r="US2" s="123"/>
      <c r="UT2" s="123"/>
      <c r="UU2" s="123"/>
      <c r="UV2" s="123"/>
      <c r="UW2" s="123"/>
      <c r="UX2" s="123"/>
      <c r="UY2" s="123"/>
      <c r="UZ2" s="123"/>
      <c r="VA2" s="123"/>
      <c r="VB2" s="123"/>
      <c r="VC2" s="123"/>
      <c r="VD2" s="123"/>
      <c r="VE2" s="123"/>
      <c r="VF2" s="123"/>
      <c r="VG2" s="123"/>
      <c r="VH2" s="123"/>
      <c r="VI2" s="123"/>
      <c r="VJ2" s="123"/>
      <c r="VK2" s="123"/>
      <c r="VL2" s="123"/>
      <c r="VM2" s="123"/>
      <c r="VN2" s="123"/>
      <c r="VO2" s="123"/>
      <c r="VP2" s="123"/>
      <c r="VQ2" s="123"/>
      <c r="VR2" s="123"/>
      <c r="VS2" s="123"/>
      <c r="VT2" s="123"/>
      <c r="VU2" s="123"/>
      <c r="VV2" s="123"/>
      <c r="VW2" s="123"/>
      <c r="VX2" s="123"/>
      <c r="VY2" s="123"/>
      <c r="VZ2" s="123"/>
      <c r="WA2" s="123"/>
      <c r="WB2" s="123"/>
      <c r="WC2" s="123"/>
      <c r="WD2" s="123"/>
      <c r="WE2" s="123"/>
      <c r="WF2" s="123"/>
      <c r="WG2" s="123"/>
      <c r="WH2" s="123"/>
      <c r="WI2" s="123"/>
      <c r="WJ2" s="123"/>
      <c r="WK2" s="123"/>
      <c r="WL2" s="123"/>
      <c r="WM2" s="123"/>
      <c r="WN2" s="123"/>
      <c r="WO2" s="123"/>
      <c r="WP2" s="123"/>
      <c r="WQ2" s="123"/>
      <c r="WR2" s="123"/>
      <c r="WS2" s="123"/>
      <c r="WT2" s="123"/>
      <c r="WU2" s="123"/>
      <c r="WV2" s="123"/>
      <c r="WW2" s="123"/>
      <c r="WX2" s="123"/>
      <c r="WY2" s="123"/>
      <c r="WZ2" s="123"/>
      <c r="XA2" s="123"/>
      <c r="XB2" s="123"/>
      <c r="XC2" s="123"/>
      <c r="XD2" s="123"/>
      <c r="XE2" s="123"/>
      <c r="XF2" s="123"/>
      <c r="XG2" s="123"/>
      <c r="XH2" s="123"/>
      <c r="XI2" s="123"/>
      <c r="XJ2" s="123"/>
      <c r="XK2" s="123"/>
      <c r="XL2" s="123"/>
      <c r="XM2" s="123"/>
      <c r="XN2" s="123"/>
      <c r="XO2" s="123"/>
      <c r="XP2" s="123"/>
      <c r="XQ2" s="123"/>
      <c r="XR2" s="123"/>
      <c r="XS2" s="123"/>
      <c r="XT2" s="123"/>
      <c r="XU2" s="123"/>
      <c r="XV2" s="123"/>
      <c r="XW2" s="123"/>
      <c r="XX2" s="123"/>
      <c r="XY2" s="123"/>
      <c r="XZ2" s="123"/>
      <c r="YA2" s="123"/>
      <c r="YB2" s="123"/>
      <c r="YC2" s="123"/>
      <c r="YD2" s="123"/>
      <c r="YE2" s="123"/>
      <c r="YF2" s="123"/>
      <c r="YG2" s="123"/>
      <c r="YH2" s="123"/>
      <c r="YI2" s="123"/>
      <c r="YJ2" s="123"/>
      <c r="YK2" s="123"/>
      <c r="YL2" s="123"/>
      <c r="YM2" s="123"/>
      <c r="YN2" s="123"/>
      <c r="YO2" s="123"/>
      <c r="YP2" s="123"/>
      <c r="YQ2" s="123"/>
      <c r="YR2" s="123"/>
      <c r="YS2" s="123"/>
      <c r="YT2" s="123"/>
      <c r="YU2" s="123"/>
      <c r="YV2" s="123"/>
      <c r="YW2" s="123"/>
      <c r="YX2" s="123"/>
      <c r="YY2" s="123"/>
      <c r="YZ2" s="123"/>
      <c r="ZA2" s="123"/>
      <c r="ZB2" s="123"/>
      <c r="ZC2" s="123"/>
      <c r="ZD2" s="123"/>
      <c r="ZE2" s="123"/>
      <c r="ZF2" s="123"/>
      <c r="ZG2" s="123"/>
      <c r="ZH2" s="123"/>
      <c r="ZI2" s="123"/>
      <c r="ZJ2" s="123"/>
      <c r="ZK2" s="123"/>
      <c r="ZL2" s="123"/>
      <c r="ZM2" s="123"/>
      <c r="ZN2" s="123"/>
      <c r="ZO2" s="123"/>
      <c r="ZP2" s="123"/>
      <c r="ZQ2" s="123"/>
      <c r="ZR2" s="123"/>
      <c r="ZS2" s="123"/>
      <c r="ZT2" s="123"/>
      <c r="ZU2" s="123"/>
      <c r="ZV2" s="123"/>
      <c r="ZW2" s="123"/>
      <c r="ZX2" s="123"/>
      <c r="ZY2" s="123"/>
      <c r="ZZ2" s="123"/>
      <c r="AAA2" s="123"/>
      <c r="AAB2" s="123"/>
      <c r="AAC2" s="123"/>
      <c r="AAD2" s="123"/>
      <c r="AAE2" s="123"/>
      <c r="AAF2" s="123"/>
      <c r="AAG2" s="123"/>
      <c r="AAH2" s="123"/>
      <c r="AAI2" s="123"/>
      <c r="AAJ2" s="123"/>
      <c r="AAK2" s="123"/>
      <c r="AAL2" s="123"/>
      <c r="AAM2" s="123"/>
      <c r="AAN2" s="123"/>
      <c r="AAO2" s="123"/>
      <c r="AAP2" s="123"/>
      <c r="AAQ2" s="123"/>
      <c r="AAR2" s="123"/>
      <c r="AAS2" s="123"/>
      <c r="AAT2" s="123"/>
      <c r="AAU2" s="123"/>
      <c r="AAV2" s="123"/>
      <c r="AAW2" s="123"/>
      <c r="AAX2" s="123"/>
      <c r="AAY2" s="123"/>
      <c r="AAZ2" s="123"/>
      <c r="ABA2" s="123"/>
      <c r="ABB2" s="123"/>
      <c r="ABC2" s="123"/>
      <c r="ABD2" s="123"/>
      <c r="ABE2" s="123"/>
      <c r="ABF2" s="123"/>
      <c r="ABG2" s="123"/>
      <c r="ABH2" s="123"/>
      <c r="ABI2" s="123"/>
      <c r="ABJ2" s="123"/>
      <c r="ABK2" s="123"/>
      <c r="ABL2" s="123"/>
      <c r="ABM2" s="123"/>
      <c r="ABN2" s="123"/>
      <c r="ABO2" s="123"/>
      <c r="ABP2" s="123"/>
      <c r="ABQ2" s="123"/>
      <c r="ABR2" s="123"/>
      <c r="ABS2" s="123"/>
      <c r="ABT2" s="123"/>
      <c r="ABU2" s="123"/>
      <c r="ABV2" s="123"/>
      <c r="ABW2" s="123"/>
      <c r="ABX2" s="123"/>
      <c r="ABY2" s="123"/>
      <c r="ABZ2" s="123"/>
      <c r="ACA2" s="123"/>
      <c r="ACB2" s="123"/>
      <c r="ACC2" s="123"/>
      <c r="ACD2" s="123"/>
      <c r="ACE2" s="123"/>
      <c r="ACF2" s="123"/>
      <c r="ACG2" s="123"/>
      <c r="ACH2" s="123"/>
      <c r="ACI2" s="123"/>
      <c r="ACJ2" s="123"/>
      <c r="ACK2" s="123"/>
      <c r="ACL2" s="123"/>
      <c r="ACM2" s="123"/>
      <c r="ACN2" s="123"/>
      <c r="ACO2" s="123"/>
      <c r="ACP2" s="123"/>
      <c r="ACQ2" s="123"/>
      <c r="ACR2" s="123"/>
      <c r="ACS2" s="123"/>
      <c r="ACT2" s="123"/>
      <c r="ACU2" s="123"/>
      <c r="ACV2" s="123"/>
      <c r="ACW2" s="123"/>
      <c r="ACX2" s="123"/>
      <c r="ACY2" s="123"/>
      <c r="ACZ2" s="123"/>
      <c r="ADA2" s="123"/>
      <c r="ADB2" s="123"/>
      <c r="ADC2" s="123"/>
      <c r="ADD2" s="123"/>
      <c r="ADE2" s="123"/>
      <c r="ADF2" s="123"/>
      <c r="ADG2" s="123"/>
      <c r="ADH2" s="123"/>
      <c r="ADI2" s="123"/>
      <c r="ADJ2" s="123"/>
      <c r="ADK2" s="123"/>
      <c r="ADL2" s="123"/>
      <c r="ADM2" s="123"/>
      <c r="ADN2" s="123"/>
      <c r="ADO2" s="123"/>
      <c r="ADP2" s="123"/>
      <c r="ADQ2" s="123"/>
      <c r="ADR2" s="123"/>
      <c r="ADS2" s="123"/>
      <c r="ADT2" s="123"/>
      <c r="ADU2" s="123"/>
      <c r="ADV2" s="123"/>
      <c r="ADW2" s="123"/>
      <c r="ADX2" s="123"/>
      <c r="ADY2" s="123"/>
      <c r="ADZ2" s="123"/>
      <c r="AEA2" s="123"/>
      <c r="AEB2" s="123"/>
      <c r="AEC2" s="123"/>
      <c r="AED2" s="123"/>
      <c r="AEE2" s="123"/>
      <c r="AEF2" s="123"/>
      <c r="AEG2" s="123"/>
      <c r="AEH2" s="123"/>
      <c r="AEI2" s="123"/>
      <c r="AEJ2" s="123"/>
      <c r="AEK2" s="123"/>
      <c r="AEL2" s="123"/>
      <c r="AEM2" s="123"/>
      <c r="AEN2" s="123"/>
      <c r="AEO2" s="123"/>
      <c r="AEP2" s="123"/>
      <c r="AEQ2" s="123"/>
      <c r="AER2" s="123"/>
      <c r="AES2" s="123"/>
      <c r="AET2" s="123"/>
      <c r="AEU2" s="123"/>
      <c r="AEV2" s="123"/>
      <c r="AEW2" s="123"/>
      <c r="AEX2" s="123"/>
      <c r="AEY2" s="123"/>
      <c r="AEZ2" s="123"/>
      <c r="AFA2" s="123"/>
      <c r="AFB2" s="123"/>
      <c r="AFC2" s="123"/>
      <c r="AFD2" s="123"/>
      <c r="AFE2" s="123"/>
      <c r="AFF2" s="123"/>
      <c r="AFG2" s="123"/>
      <c r="AFH2" s="123"/>
      <c r="AFI2" s="123"/>
      <c r="AFJ2" s="123"/>
      <c r="AFK2" s="123"/>
      <c r="AFL2" s="123"/>
      <c r="AFM2" s="123"/>
      <c r="AFN2" s="123"/>
      <c r="AFO2" s="123"/>
      <c r="AFP2" s="123"/>
      <c r="AFQ2" s="123"/>
      <c r="AFR2" s="123"/>
      <c r="AFS2" s="123"/>
      <c r="AFT2" s="123"/>
      <c r="AFU2" s="123"/>
      <c r="AFV2" s="123"/>
      <c r="AFW2" s="123"/>
      <c r="AFX2" s="123"/>
      <c r="AFY2" s="123"/>
      <c r="AFZ2" s="123"/>
      <c r="AGA2" s="123"/>
      <c r="AGB2" s="123"/>
      <c r="AGC2" s="123"/>
      <c r="AGD2" s="123"/>
      <c r="AGE2" s="123"/>
      <c r="AGF2" s="123"/>
      <c r="AGG2" s="123"/>
      <c r="AGH2" s="123"/>
      <c r="AGI2" s="123"/>
      <c r="AGJ2" s="123"/>
      <c r="AGK2" s="123"/>
      <c r="AGL2" s="123"/>
      <c r="AGM2" s="123"/>
      <c r="AGN2" s="123"/>
      <c r="AGO2" s="123"/>
      <c r="AGP2" s="123"/>
      <c r="AGQ2" s="123"/>
      <c r="AGR2" s="123"/>
      <c r="AGS2" s="123"/>
      <c r="AGT2" s="123"/>
      <c r="AGU2" s="123"/>
      <c r="AGV2" s="123"/>
      <c r="AGW2" s="123"/>
      <c r="AGX2" s="123"/>
      <c r="AGY2" s="123"/>
      <c r="AGZ2" s="123"/>
      <c r="AHA2" s="123"/>
      <c r="AHB2" s="123"/>
      <c r="AHC2" s="123"/>
      <c r="AHD2" s="123"/>
      <c r="AHE2" s="123"/>
      <c r="AHF2" s="123"/>
      <c r="AHG2" s="123"/>
      <c r="AHH2" s="123"/>
      <c r="AHI2" s="123"/>
      <c r="AHJ2" s="123"/>
      <c r="AHK2" s="123"/>
      <c r="AHL2" s="123"/>
      <c r="AHM2" s="123"/>
      <c r="AHN2" s="123"/>
      <c r="AHO2" s="123"/>
      <c r="AHP2" s="123"/>
      <c r="AHQ2" s="123"/>
      <c r="AHR2" s="123"/>
      <c r="AHS2" s="123"/>
      <c r="AHT2" s="123"/>
      <c r="AHU2" s="123"/>
      <c r="AHV2" s="123"/>
      <c r="AHW2" s="123"/>
      <c r="AHX2" s="123"/>
      <c r="AHY2" s="123"/>
      <c r="AHZ2" s="123"/>
      <c r="AIA2" s="123"/>
      <c r="AIB2" s="123"/>
      <c r="AIC2" s="123"/>
      <c r="AID2" s="123"/>
      <c r="AIE2" s="123"/>
      <c r="AIF2" s="123"/>
      <c r="AIG2" s="123"/>
      <c r="AIH2" s="123"/>
      <c r="AII2" s="123"/>
      <c r="AIJ2" s="123"/>
      <c r="AIK2" s="123"/>
      <c r="AIL2" s="123"/>
      <c r="AIM2" s="123"/>
      <c r="AIN2" s="123"/>
      <c r="AIO2" s="123"/>
      <c r="AIP2" s="123"/>
      <c r="AIQ2" s="123"/>
      <c r="AIR2" s="123"/>
      <c r="AIS2" s="123"/>
      <c r="AIT2" s="123"/>
      <c r="AIU2" s="123"/>
      <c r="AIV2" s="123"/>
      <c r="AIW2" s="123"/>
      <c r="AIX2" s="123"/>
      <c r="AIY2" s="123"/>
      <c r="AIZ2" s="123"/>
      <c r="AJA2" s="123"/>
      <c r="AJB2" s="123"/>
      <c r="AJC2" s="123"/>
      <c r="AJD2" s="123"/>
      <c r="AJE2" s="123"/>
      <c r="AJF2" s="123"/>
      <c r="AJG2" s="123"/>
      <c r="AJH2" s="123"/>
      <c r="AJI2" s="123"/>
      <c r="AJJ2" s="123"/>
      <c r="AJK2" s="123"/>
      <c r="AJL2" s="123"/>
      <c r="AJM2" s="123"/>
      <c r="AJN2" s="123"/>
      <c r="AJO2" s="123"/>
      <c r="AJP2" s="123"/>
      <c r="AJQ2" s="123"/>
      <c r="AJR2" s="123"/>
      <c r="AJS2" s="123"/>
      <c r="AJT2" s="123"/>
      <c r="AJU2" s="123"/>
      <c r="AJV2" s="123"/>
      <c r="AJW2" s="123"/>
      <c r="AJX2" s="123"/>
      <c r="AJY2" s="123"/>
      <c r="AJZ2" s="123"/>
      <c r="AKA2" s="123"/>
      <c r="AKB2" s="123"/>
      <c r="AKC2" s="123"/>
      <c r="AKD2" s="123"/>
      <c r="AKE2" s="123"/>
      <c r="AKF2" s="123"/>
      <c r="AKG2" s="123"/>
      <c r="AKH2" s="123"/>
      <c r="AKI2" s="123"/>
      <c r="AKJ2" s="123"/>
      <c r="AKK2" s="123"/>
      <c r="AKL2" s="123"/>
      <c r="AKM2" s="123"/>
      <c r="AKN2" s="123"/>
      <c r="AKO2" s="123"/>
      <c r="AKP2" s="123"/>
      <c r="AKQ2" s="123"/>
      <c r="AKR2" s="123"/>
      <c r="AKS2" s="123"/>
      <c r="AKT2" s="123"/>
      <c r="AKU2" s="123"/>
      <c r="AKV2" s="123"/>
      <c r="AKW2" s="123"/>
      <c r="AKX2" s="123"/>
      <c r="AKY2" s="123"/>
      <c r="AKZ2" s="123"/>
      <c r="ALA2" s="123"/>
      <c r="ALB2" s="123"/>
      <c r="ALC2" s="123"/>
      <c r="ALD2" s="123"/>
      <c r="ALE2" s="123"/>
      <c r="ALF2" s="123"/>
      <c r="ALG2" s="123"/>
      <c r="ALH2" s="123"/>
      <c r="ALI2" s="123"/>
      <c r="ALJ2" s="123"/>
      <c r="ALK2" s="123"/>
      <c r="ALL2" s="123"/>
      <c r="ALM2" s="123"/>
      <c r="ALN2" s="123"/>
      <c r="ALO2" s="123"/>
      <c r="ALP2" s="123"/>
      <c r="ALQ2" s="123"/>
      <c r="ALR2" s="123"/>
      <c r="ALS2" s="123"/>
      <c r="ALT2" s="123"/>
      <c r="ALU2" s="123"/>
      <c r="ALV2" s="123"/>
      <c r="ALW2" s="123"/>
      <c r="ALX2" s="123"/>
      <c r="ALY2" s="123"/>
      <c r="ALZ2" s="123"/>
      <c r="AMA2" s="123"/>
      <c r="AMB2" s="123"/>
      <c r="AMC2" s="123"/>
      <c r="AMD2" s="123"/>
      <c r="AME2" s="123"/>
      <c r="AMF2" s="123"/>
      <c r="AMG2" s="123"/>
      <c r="AMH2" s="123"/>
      <c r="AMI2" s="123"/>
      <c r="AMJ2" s="123"/>
      <c r="AMK2" s="123"/>
      <c r="AML2" s="123"/>
      <c r="AMM2" s="123"/>
      <c r="AMN2" s="123"/>
      <c r="AMO2" s="123"/>
      <c r="AMP2" s="123"/>
      <c r="AMQ2" s="123"/>
      <c r="AMR2" s="123"/>
      <c r="AMS2" s="123"/>
      <c r="AMT2" s="123"/>
      <c r="AMU2" s="123"/>
      <c r="AMV2" s="123"/>
      <c r="AMW2" s="123"/>
      <c r="AMX2" s="123"/>
      <c r="AMY2" s="123"/>
      <c r="AMZ2" s="123"/>
      <c r="ANA2" s="123"/>
      <c r="ANB2" s="123"/>
      <c r="ANC2" s="123"/>
      <c r="AND2" s="123"/>
      <c r="ANE2" s="123"/>
      <c r="ANF2" s="123"/>
      <c r="ANG2" s="123"/>
      <c r="ANH2" s="123"/>
      <c r="ANI2" s="123"/>
      <c r="ANJ2" s="123"/>
      <c r="ANK2" s="123"/>
      <c r="ANL2" s="123"/>
      <c r="ANM2" s="123"/>
      <c r="ANN2" s="123"/>
      <c r="ANO2" s="123"/>
      <c r="ANP2" s="123"/>
      <c r="ANQ2" s="123"/>
      <c r="ANR2" s="123"/>
      <c r="ANS2" s="123"/>
      <c r="ANT2" s="123"/>
      <c r="ANU2" s="123"/>
      <c r="ANV2" s="123"/>
      <c r="ANW2" s="123"/>
      <c r="ANX2" s="123"/>
      <c r="ANY2" s="123"/>
      <c r="ANZ2" s="123"/>
      <c r="AOA2" s="123"/>
    </row>
    <row r="3" spans="1:1067" x14ac:dyDescent="0.2">
      <c r="A3" s="4" t="s">
        <v>1</v>
      </c>
      <c r="B3" s="68"/>
      <c r="C3" s="69">
        <f>+B3+B4-B5-B6-B7</f>
        <v>0</v>
      </c>
      <c r="D3" s="69">
        <f t="shared" ref="D3:BO3" si="0">+C3+C4-C5-C6-C7</f>
        <v>1511</v>
      </c>
      <c r="E3" s="69">
        <f t="shared" si="0"/>
        <v>896</v>
      </c>
      <c r="F3" s="69">
        <f t="shared" si="0"/>
        <v>-30</v>
      </c>
      <c r="G3" s="69">
        <f t="shared" si="0"/>
        <v>-30</v>
      </c>
      <c r="H3" s="69">
        <f t="shared" si="0"/>
        <v>-30</v>
      </c>
      <c r="I3" s="69">
        <f t="shared" si="0"/>
        <v>-30</v>
      </c>
      <c r="J3" s="69">
        <f t="shared" si="0"/>
        <v>-30</v>
      </c>
      <c r="K3" s="69">
        <f t="shared" si="0"/>
        <v>846</v>
      </c>
      <c r="L3" s="69">
        <f t="shared" si="0"/>
        <v>1060</v>
      </c>
      <c r="M3" s="69">
        <f t="shared" si="0"/>
        <v>1506</v>
      </c>
      <c r="N3" s="69">
        <f t="shared" si="0"/>
        <v>672</v>
      </c>
      <c r="O3" s="69">
        <f t="shared" si="0"/>
        <v>60</v>
      </c>
      <c r="P3" s="69">
        <f t="shared" si="0"/>
        <v>60</v>
      </c>
      <c r="Q3" s="69">
        <f t="shared" si="0"/>
        <v>60</v>
      </c>
      <c r="R3" s="69">
        <f t="shared" si="0"/>
        <v>708</v>
      </c>
      <c r="S3" s="69">
        <f t="shared" si="0"/>
        <v>644</v>
      </c>
      <c r="T3" s="69">
        <f t="shared" si="0"/>
        <v>573</v>
      </c>
      <c r="U3" s="69">
        <f t="shared" si="0"/>
        <v>407</v>
      </c>
      <c r="V3" s="69">
        <f t="shared" si="0"/>
        <v>-30</v>
      </c>
      <c r="W3" s="69">
        <f t="shared" si="0"/>
        <v>-30</v>
      </c>
      <c r="X3" s="69">
        <f t="shared" si="0"/>
        <v>-30</v>
      </c>
      <c r="Y3" s="69">
        <f t="shared" si="0"/>
        <v>1341</v>
      </c>
      <c r="Z3" s="69">
        <f t="shared" si="0"/>
        <v>1598</v>
      </c>
      <c r="AA3" s="69">
        <f t="shared" si="0"/>
        <v>560</v>
      </c>
      <c r="AB3" s="69">
        <f t="shared" si="0"/>
        <v>290</v>
      </c>
      <c r="AC3" s="69">
        <f t="shared" si="0"/>
        <v>-30</v>
      </c>
      <c r="AD3" s="69">
        <f t="shared" si="0"/>
        <v>-30</v>
      </c>
      <c r="AE3" s="69">
        <f t="shared" si="0"/>
        <v>-30</v>
      </c>
      <c r="AF3" s="69">
        <f t="shared" si="0"/>
        <v>1233</v>
      </c>
      <c r="AG3" s="69">
        <f t="shared" si="0"/>
        <v>838</v>
      </c>
      <c r="AH3" s="69">
        <f t="shared" si="0"/>
        <v>1471</v>
      </c>
      <c r="AI3" s="69">
        <f t="shared" si="0"/>
        <v>572</v>
      </c>
      <c r="AJ3" s="69">
        <f t="shared" si="0"/>
        <v>572</v>
      </c>
      <c r="AK3" s="69">
        <f t="shared" si="0"/>
        <v>572</v>
      </c>
      <c r="AL3" s="69">
        <f t="shared" si="0"/>
        <v>572</v>
      </c>
      <c r="AM3" s="69">
        <f t="shared" si="0"/>
        <v>1910</v>
      </c>
      <c r="AN3" s="69">
        <f t="shared" si="0"/>
        <v>1746</v>
      </c>
      <c r="AO3" s="69">
        <f t="shared" si="0"/>
        <v>999</v>
      </c>
      <c r="AP3" s="69">
        <f t="shared" si="0"/>
        <v>661</v>
      </c>
      <c r="AQ3" s="69">
        <f t="shared" si="0"/>
        <v>-30</v>
      </c>
      <c r="AR3" s="69">
        <f t="shared" si="0"/>
        <v>459</v>
      </c>
      <c r="AS3" s="69">
        <f t="shared" si="0"/>
        <v>459</v>
      </c>
      <c r="AT3" s="69">
        <f t="shared" si="0"/>
        <v>1751</v>
      </c>
      <c r="AU3" s="69">
        <f t="shared" si="0"/>
        <v>1408</v>
      </c>
      <c r="AV3" s="69">
        <f t="shared" si="0"/>
        <v>1001</v>
      </c>
      <c r="AW3" s="69">
        <f t="shared" si="0"/>
        <v>315</v>
      </c>
      <c r="AX3" s="69">
        <f t="shared" si="0"/>
        <v>-30</v>
      </c>
      <c r="AY3" s="69">
        <f t="shared" si="0"/>
        <v>-30</v>
      </c>
      <c r="AZ3" s="69">
        <f t="shared" si="0"/>
        <v>-30</v>
      </c>
      <c r="BA3" s="69">
        <f t="shared" si="0"/>
        <v>1392</v>
      </c>
      <c r="BB3" s="69">
        <f t="shared" si="0"/>
        <v>2021</v>
      </c>
      <c r="BC3" s="69">
        <f t="shared" si="0"/>
        <v>1347</v>
      </c>
      <c r="BD3" s="69">
        <f t="shared" si="0"/>
        <v>535</v>
      </c>
      <c r="BE3" s="69">
        <f t="shared" si="0"/>
        <v>-30</v>
      </c>
      <c r="BF3" s="69">
        <f t="shared" si="0"/>
        <v>-30</v>
      </c>
      <c r="BG3" s="69">
        <f t="shared" si="0"/>
        <v>-30</v>
      </c>
      <c r="BH3" s="69">
        <f t="shared" si="0"/>
        <v>1505</v>
      </c>
      <c r="BI3" s="69">
        <f t="shared" si="0"/>
        <v>1666</v>
      </c>
      <c r="BJ3" s="69">
        <f t="shared" si="0"/>
        <v>976</v>
      </c>
      <c r="BK3" s="69">
        <f t="shared" si="0"/>
        <v>806</v>
      </c>
      <c r="BL3" s="69">
        <f t="shared" si="0"/>
        <v>207</v>
      </c>
      <c r="BM3" s="69">
        <f t="shared" si="0"/>
        <v>207</v>
      </c>
      <c r="BN3" s="69">
        <f t="shared" si="0"/>
        <v>207</v>
      </c>
      <c r="BO3" s="69">
        <f t="shared" si="0"/>
        <v>1314</v>
      </c>
      <c r="BP3" s="69">
        <f t="shared" ref="BP3:EA3" si="1">+BO3+BO4-BO5-BO6-BO7</f>
        <v>635</v>
      </c>
      <c r="BQ3" s="69">
        <f t="shared" si="1"/>
        <v>807</v>
      </c>
      <c r="BR3" s="69">
        <f t="shared" si="1"/>
        <v>695</v>
      </c>
      <c r="BS3" s="69">
        <f t="shared" si="1"/>
        <v>453</v>
      </c>
      <c r="BT3" s="69">
        <f t="shared" si="1"/>
        <v>453</v>
      </c>
      <c r="BU3" s="69">
        <f t="shared" si="1"/>
        <v>453</v>
      </c>
      <c r="BV3" s="69">
        <f t="shared" si="1"/>
        <v>1777</v>
      </c>
      <c r="BW3" s="69">
        <f t="shared" si="1"/>
        <v>2401</v>
      </c>
      <c r="BX3" s="69">
        <f t="shared" si="1"/>
        <v>1309</v>
      </c>
      <c r="BY3" s="69">
        <f t="shared" si="1"/>
        <v>120</v>
      </c>
      <c r="BZ3" s="69">
        <f t="shared" si="1"/>
        <v>120</v>
      </c>
      <c r="CA3" s="69">
        <f t="shared" si="1"/>
        <v>120</v>
      </c>
      <c r="CB3" s="69">
        <f t="shared" si="1"/>
        <v>120</v>
      </c>
      <c r="CC3" s="69">
        <f t="shared" si="1"/>
        <v>1475</v>
      </c>
      <c r="CD3" s="69">
        <f t="shared" si="1"/>
        <v>1428</v>
      </c>
      <c r="CE3" s="69">
        <f t="shared" si="1"/>
        <v>315</v>
      </c>
      <c r="CF3" s="69">
        <f t="shared" si="1"/>
        <v>315</v>
      </c>
      <c r="CG3" s="69">
        <f t="shared" si="1"/>
        <v>-30</v>
      </c>
      <c r="CH3" s="69">
        <f t="shared" si="1"/>
        <v>-30</v>
      </c>
      <c r="CI3" s="69">
        <f t="shared" si="1"/>
        <v>-30</v>
      </c>
      <c r="CJ3" s="69">
        <f t="shared" si="1"/>
        <v>1310</v>
      </c>
      <c r="CK3" s="69">
        <f t="shared" si="1"/>
        <v>2210</v>
      </c>
      <c r="CL3" s="69">
        <f t="shared" si="1"/>
        <v>2136</v>
      </c>
      <c r="CM3" s="69">
        <f t="shared" si="1"/>
        <v>192</v>
      </c>
      <c r="CN3" s="69">
        <f t="shared" si="1"/>
        <v>192</v>
      </c>
      <c r="CO3" s="69">
        <f t="shared" si="1"/>
        <v>192</v>
      </c>
      <c r="CP3" s="69">
        <f t="shared" si="1"/>
        <v>192</v>
      </c>
      <c r="CQ3" s="69">
        <f t="shared" si="1"/>
        <v>1403</v>
      </c>
      <c r="CR3" s="69">
        <f t="shared" si="1"/>
        <v>2022</v>
      </c>
      <c r="CS3" s="69">
        <f t="shared" si="1"/>
        <v>460</v>
      </c>
      <c r="CT3" s="69">
        <f t="shared" si="1"/>
        <v>101</v>
      </c>
      <c r="CU3" s="69">
        <f t="shared" si="1"/>
        <v>101</v>
      </c>
      <c r="CV3" s="69">
        <f t="shared" si="1"/>
        <v>101</v>
      </c>
      <c r="CW3" s="69">
        <f t="shared" si="1"/>
        <v>101</v>
      </c>
      <c r="CX3" s="69">
        <f t="shared" si="1"/>
        <v>1205</v>
      </c>
      <c r="CY3" s="69">
        <f t="shared" si="1"/>
        <v>1389</v>
      </c>
      <c r="CZ3" s="69">
        <f t="shared" si="1"/>
        <v>1571</v>
      </c>
      <c r="DA3" s="69">
        <f t="shared" si="1"/>
        <v>1612</v>
      </c>
      <c r="DB3" s="69">
        <f t="shared" si="1"/>
        <v>216</v>
      </c>
      <c r="DC3" s="69">
        <f t="shared" si="1"/>
        <v>216</v>
      </c>
      <c r="DD3" s="69">
        <f t="shared" si="1"/>
        <v>216</v>
      </c>
      <c r="DE3" s="69">
        <f t="shared" si="1"/>
        <v>1411</v>
      </c>
      <c r="DF3" s="69">
        <f t="shared" si="1"/>
        <v>1370</v>
      </c>
      <c r="DG3" s="69">
        <f t="shared" si="1"/>
        <v>-30</v>
      </c>
      <c r="DH3" s="69">
        <f t="shared" si="1"/>
        <v>-30</v>
      </c>
      <c r="DI3" s="69">
        <f t="shared" si="1"/>
        <v>-30</v>
      </c>
      <c r="DJ3" s="69">
        <f t="shared" si="1"/>
        <v>227</v>
      </c>
      <c r="DK3" s="69">
        <f t="shared" si="1"/>
        <v>227</v>
      </c>
      <c r="DL3" s="69">
        <f t="shared" si="1"/>
        <v>1172</v>
      </c>
      <c r="DM3" s="69">
        <f t="shared" si="1"/>
        <v>697</v>
      </c>
      <c r="DN3" s="69">
        <f t="shared" si="1"/>
        <v>211</v>
      </c>
      <c r="DO3" s="69">
        <f t="shared" si="1"/>
        <v>211</v>
      </c>
      <c r="DP3" s="69">
        <f t="shared" si="1"/>
        <v>-30</v>
      </c>
      <c r="DQ3" s="69">
        <f t="shared" si="1"/>
        <v>-30</v>
      </c>
      <c r="DR3" s="69">
        <f t="shared" si="1"/>
        <v>-30</v>
      </c>
      <c r="DS3" s="69">
        <f t="shared" si="1"/>
        <v>-30</v>
      </c>
      <c r="DT3" s="69">
        <f t="shared" si="1"/>
        <v>1162</v>
      </c>
      <c r="DU3" s="69">
        <f t="shared" si="1"/>
        <v>875</v>
      </c>
      <c r="DV3" s="69">
        <f t="shared" si="1"/>
        <v>399</v>
      </c>
      <c r="DW3" s="69">
        <f t="shared" si="1"/>
        <v>130</v>
      </c>
      <c r="DX3" s="69">
        <f t="shared" si="1"/>
        <v>130</v>
      </c>
      <c r="DY3" s="69">
        <f t="shared" si="1"/>
        <v>130</v>
      </c>
      <c r="DZ3" s="69">
        <f t="shared" si="1"/>
        <v>941</v>
      </c>
      <c r="EA3" s="69">
        <f t="shared" si="1"/>
        <v>498</v>
      </c>
      <c r="EB3" s="69">
        <f t="shared" ref="EB3:GM3" si="2">+EA3+EA4-EA5-EA6-EA7</f>
        <v>780</v>
      </c>
      <c r="EC3" s="69">
        <f t="shared" si="2"/>
        <v>240</v>
      </c>
      <c r="ED3" s="69">
        <f t="shared" si="2"/>
        <v>240</v>
      </c>
      <c r="EE3" s="69">
        <f t="shared" si="2"/>
        <v>240</v>
      </c>
      <c r="EF3" s="69">
        <f t="shared" si="2"/>
        <v>240</v>
      </c>
      <c r="EG3" s="69">
        <f t="shared" si="2"/>
        <v>976</v>
      </c>
      <c r="EH3" s="69">
        <f t="shared" si="2"/>
        <v>864</v>
      </c>
      <c r="EI3" s="69">
        <f t="shared" si="2"/>
        <v>554</v>
      </c>
      <c r="EJ3" s="69">
        <f t="shared" si="2"/>
        <v>534</v>
      </c>
      <c r="EK3" s="69">
        <f t="shared" si="2"/>
        <v>135</v>
      </c>
      <c r="EL3" s="69">
        <f t="shared" si="2"/>
        <v>135</v>
      </c>
      <c r="EM3" s="69">
        <f t="shared" si="2"/>
        <v>135</v>
      </c>
      <c r="EN3" s="69">
        <f t="shared" si="2"/>
        <v>660</v>
      </c>
      <c r="EO3" s="69">
        <f t="shared" si="2"/>
        <v>813</v>
      </c>
      <c r="EP3" s="69">
        <f t="shared" si="2"/>
        <v>668</v>
      </c>
      <c r="EQ3" s="69">
        <f t="shared" si="2"/>
        <v>163</v>
      </c>
      <c r="ER3" s="69">
        <f t="shared" si="2"/>
        <v>163</v>
      </c>
      <c r="ES3" s="69">
        <f t="shared" si="2"/>
        <v>163</v>
      </c>
      <c r="ET3" s="69">
        <f t="shared" si="2"/>
        <v>163</v>
      </c>
      <c r="EU3" s="69">
        <f t="shared" si="2"/>
        <v>163</v>
      </c>
      <c r="EV3" s="69">
        <f t="shared" si="2"/>
        <v>0</v>
      </c>
      <c r="EW3" s="69">
        <f t="shared" si="2"/>
        <v>0</v>
      </c>
      <c r="EX3" s="69">
        <v>19</v>
      </c>
      <c r="EY3" s="69">
        <v>19</v>
      </c>
      <c r="EZ3" s="69">
        <v>19</v>
      </c>
      <c r="FA3" s="69">
        <v>19</v>
      </c>
      <c r="FB3" s="69">
        <f t="shared" si="2"/>
        <v>706</v>
      </c>
      <c r="FC3" s="69">
        <f t="shared" si="2"/>
        <v>948</v>
      </c>
      <c r="FD3" s="69">
        <f t="shared" si="2"/>
        <v>896</v>
      </c>
      <c r="FE3" s="69">
        <f t="shared" si="2"/>
        <v>746</v>
      </c>
      <c r="FF3" s="69">
        <f t="shared" si="2"/>
        <v>281</v>
      </c>
      <c r="FG3" s="69">
        <f t="shared" si="2"/>
        <v>281</v>
      </c>
      <c r="FH3" s="69">
        <f t="shared" si="2"/>
        <v>281</v>
      </c>
      <c r="FI3" s="69">
        <f t="shared" si="2"/>
        <v>1065</v>
      </c>
      <c r="FJ3" s="69">
        <f t="shared" si="2"/>
        <v>1010</v>
      </c>
      <c r="FK3" s="69">
        <f t="shared" si="2"/>
        <v>748</v>
      </c>
      <c r="FL3" s="69">
        <f t="shared" si="2"/>
        <v>748</v>
      </c>
      <c r="FM3" s="69">
        <f t="shared" si="2"/>
        <v>281</v>
      </c>
      <c r="FN3" s="69">
        <v>200</v>
      </c>
      <c r="FO3" s="69">
        <f t="shared" si="2"/>
        <v>200</v>
      </c>
      <c r="FP3" s="69">
        <f t="shared" si="2"/>
        <v>893</v>
      </c>
      <c r="FQ3" s="69">
        <f t="shared" si="2"/>
        <v>1070</v>
      </c>
      <c r="FR3" s="69">
        <f t="shared" si="2"/>
        <v>1488</v>
      </c>
      <c r="FS3" s="69">
        <f t="shared" si="2"/>
        <v>1005</v>
      </c>
      <c r="FT3" s="69">
        <f t="shared" si="2"/>
        <v>249</v>
      </c>
      <c r="FU3" s="69">
        <f t="shared" si="2"/>
        <v>249</v>
      </c>
      <c r="FV3" s="69">
        <f t="shared" si="2"/>
        <v>249</v>
      </c>
      <c r="FW3" s="69">
        <f t="shared" si="2"/>
        <v>249</v>
      </c>
      <c r="FX3" s="69">
        <f t="shared" si="2"/>
        <v>1116</v>
      </c>
      <c r="FY3" s="69">
        <v>894</v>
      </c>
      <c r="FZ3" s="69">
        <v>758</v>
      </c>
      <c r="GA3" s="69">
        <f t="shared" si="2"/>
        <v>528</v>
      </c>
      <c r="GB3" s="69">
        <f t="shared" si="2"/>
        <v>528</v>
      </c>
      <c r="GC3" s="69">
        <f t="shared" si="2"/>
        <v>528</v>
      </c>
      <c r="GD3" s="69">
        <f t="shared" si="2"/>
        <v>528</v>
      </c>
      <c r="GE3" s="69">
        <f t="shared" si="2"/>
        <v>1870</v>
      </c>
      <c r="GF3" s="69">
        <f t="shared" si="2"/>
        <v>2450</v>
      </c>
      <c r="GG3" s="69">
        <f t="shared" si="2"/>
        <v>2456</v>
      </c>
      <c r="GH3" s="69">
        <f t="shared" si="2"/>
        <v>1638</v>
      </c>
      <c r="GI3" s="69">
        <f t="shared" si="2"/>
        <v>2238</v>
      </c>
      <c r="GJ3" s="69">
        <f t="shared" si="2"/>
        <v>2238</v>
      </c>
      <c r="GK3" s="69">
        <f t="shared" si="2"/>
        <v>2773</v>
      </c>
      <c r="GL3" s="69">
        <f t="shared" si="2"/>
        <v>1627</v>
      </c>
      <c r="GM3" s="69">
        <f t="shared" si="2"/>
        <v>1627</v>
      </c>
      <c r="GN3" s="69">
        <f t="shared" ref="GN3:IY3" si="3">+GM3+GM4-GM5-GM6-GM7</f>
        <v>1311</v>
      </c>
      <c r="GO3" s="69">
        <f t="shared" si="3"/>
        <v>877</v>
      </c>
      <c r="GP3" s="69">
        <f t="shared" si="3"/>
        <v>877</v>
      </c>
      <c r="GQ3" s="69">
        <f t="shared" si="3"/>
        <v>877</v>
      </c>
      <c r="GR3" s="69">
        <f t="shared" si="3"/>
        <v>1361</v>
      </c>
      <c r="GS3" s="69">
        <f t="shared" si="3"/>
        <v>844</v>
      </c>
      <c r="GT3" s="69">
        <f t="shared" si="3"/>
        <v>1639</v>
      </c>
      <c r="GU3" s="69">
        <f t="shared" si="3"/>
        <v>808</v>
      </c>
      <c r="GV3" s="69">
        <f t="shared" si="3"/>
        <v>808</v>
      </c>
      <c r="GW3" s="69">
        <f t="shared" si="3"/>
        <v>808</v>
      </c>
      <c r="GX3" s="69">
        <f t="shared" si="3"/>
        <v>808</v>
      </c>
      <c r="GY3" s="69">
        <f t="shared" si="3"/>
        <v>1179</v>
      </c>
      <c r="GZ3" s="69">
        <f t="shared" si="3"/>
        <v>1104</v>
      </c>
      <c r="HA3" s="69">
        <f t="shared" si="3"/>
        <v>1530</v>
      </c>
      <c r="HB3" s="69">
        <f t="shared" si="3"/>
        <v>1014</v>
      </c>
      <c r="HC3" s="69">
        <f t="shared" si="3"/>
        <v>680</v>
      </c>
      <c r="HD3" s="69">
        <f t="shared" si="3"/>
        <v>680</v>
      </c>
      <c r="HE3" s="69">
        <f t="shared" si="3"/>
        <v>680</v>
      </c>
      <c r="HF3" s="69">
        <f t="shared" si="3"/>
        <v>680</v>
      </c>
      <c r="HG3" s="69">
        <f t="shared" si="3"/>
        <v>1202</v>
      </c>
      <c r="HH3" s="69">
        <f t="shared" si="3"/>
        <v>1620</v>
      </c>
      <c r="HI3" s="69">
        <f t="shared" si="3"/>
        <v>1639</v>
      </c>
      <c r="HJ3" s="69">
        <f t="shared" si="3"/>
        <v>1062</v>
      </c>
      <c r="HK3" s="69">
        <f t="shared" si="3"/>
        <v>1062</v>
      </c>
      <c r="HL3" s="69">
        <f t="shared" si="3"/>
        <v>1062</v>
      </c>
      <c r="HM3" s="69">
        <f t="shared" si="3"/>
        <v>2072</v>
      </c>
      <c r="HN3" s="69">
        <f t="shared" si="3"/>
        <v>1800</v>
      </c>
      <c r="HO3" s="69">
        <f t="shared" si="3"/>
        <v>2636</v>
      </c>
      <c r="HP3" s="69">
        <f t="shared" si="3"/>
        <v>3026</v>
      </c>
      <c r="HQ3" s="69">
        <f t="shared" si="3"/>
        <v>3517</v>
      </c>
      <c r="HR3" s="69">
        <f t="shared" si="3"/>
        <v>3517</v>
      </c>
      <c r="HS3" s="69">
        <f t="shared" si="3"/>
        <v>3517</v>
      </c>
      <c r="HT3" s="69">
        <f t="shared" si="3"/>
        <v>3385</v>
      </c>
      <c r="HU3" s="69">
        <f t="shared" si="3"/>
        <v>2987</v>
      </c>
      <c r="HV3" s="69">
        <f t="shared" si="3"/>
        <v>2901</v>
      </c>
      <c r="HW3" s="69">
        <f t="shared" si="3"/>
        <v>2697</v>
      </c>
      <c r="HX3" s="69">
        <f t="shared" si="3"/>
        <v>1471</v>
      </c>
      <c r="HY3" s="69">
        <f t="shared" si="3"/>
        <v>2101</v>
      </c>
      <c r="HZ3" s="69">
        <f t="shared" si="3"/>
        <v>2101</v>
      </c>
      <c r="IA3" s="69">
        <f t="shared" si="3"/>
        <v>2377</v>
      </c>
      <c r="IB3" s="69">
        <f t="shared" si="3"/>
        <v>3408</v>
      </c>
      <c r="IC3" s="69">
        <f t="shared" si="3"/>
        <v>3010</v>
      </c>
      <c r="ID3" s="69">
        <f t="shared" si="3"/>
        <v>2980</v>
      </c>
      <c r="IE3" s="69">
        <f t="shared" si="3"/>
        <v>2325</v>
      </c>
      <c r="IF3" s="69">
        <f t="shared" si="3"/>
        <v>2325</v>
      </c>
      <c r="IG3" s="69">
        <f t="shared" si="3"/>
        <v>2325</v>
      </c>
      <c r="IH3" s="69">
        <f t="shared" si="3"/>
        <v>2805</v>
      </c>
      <c r="II3" s="69">
        <f t="shared" si="3"/>
        <v>3012</v>
      </c>
      <c r="IJ3" s="69">
        <f t="shared" si="3"/>
        <v>3493</v>
      </c>
      <c r="IK3" s="69">
        <f t="shared" si="3"/>
        <v>3781</v>
      </c>
      <c r="IL3" s="69">
        <f t="shared" si="3"/>
        <v>3152</v>
      </c>
      <c r="IM3" s="69">
        <f t="shared" si="3"/>
        <v>3758</v>
      </c>
      <c r="IN3" s="69">
        <f t="shared" si="3"/>
        <v>3758</v>
      </c>
      <c r="IO3" s="69">
        <f t="shared" si="3"/>
        <v>3948</v>
      </c>
      <c r="IP3" s="69">
        <f t="shared" si="3"/>
        <v>3972</v>
      </c>
      <c r="IQ3" s="69">
        <f t="shared" si="3"/>
        <v>4517</v>
      </c>
      <c r="IR3" s="69">
        <f t="shared" si="3"/>
        <v>4696</v>
      </c>
      <c r="IS3" s="69">
        <f t="shared" si="3"/>
        <v>3712</v>
      </c>
      <c r="IT3" s="69">
        <f t="shared" si="3"/>
        <v>3712</v>
      </c>
      <c r="IU3" s="69">
        <f t="shared" si="3"/>
        <v>3712</v>
      </c>
      <c r="IV3" s="69">
        <f t="shared" si="3"/>
        <v>3985</v>
      </c>
      <c r="IW3" s="69">
        <f t="shared" si="3"/>
        <v>3700</v>
      </c>
      <c r="IX3" s="69">
        <f t="shared" si="3"/>
        <v>3997</v>
      </c>
      <c r="IY3" s="69">
        <f t="shared" si="3"/>
        <v>4058</v>
      </c>
      <c r="IZ3" s="69">
        <f t="shared" ref="IZ3:LK3" si="4">+IY3+IY4-IY5-IY6-IY7</f>
        <v>3949</v>
      </c>
      <c r="JA3" s="69">
        <f t="shared" si="4"/>
        <v>3756</v>
      </c>
      <c r="JB3" s="69">
        <f t="shared" si="4"/>
        <v>3756</v>
      </c>
      <c r="JC3" s="69">
        <f t="shared" si="4"/>
        <v>3619</v>
      </c>
      <c r="JD3" s="69">
        <f t="shared" si="4"/>
        <v>3385</v>
      </c>
      <c r="JE3" s="69">
        <f t="shared" si="4"/>
        <v>2060</v>
      </c>
      <c r="JF3" s="69">
        <f t="shared" si="4"/>
        <v>1830</v>
      </c>
      <c r="JG3" s="69">
        <f t="shared" si="4"/>
        <v>1830</v>
      </c>
      <c r="JH3" s="69">
        <f t="shared" si="4"/>
        <v>1830</v>
      </c>
      <c r="JI3" s="69">
        <f t="shared" si="4"/>
        <v>1830</v>
      </c>
      <c r="JJ3" s="69">
        <f t="shared" si="4"/>
        <v>2250</v>
      </c>
      <c r="JK3" s="69">
        <f t="shared" si="4"/>
        <v>2655</v>
      </c>
      <c r="JL3" s="69">
        <f t="shared" si="4"/>
        <v>3051</v>
      </c>
      <c r="JM3" s="69">
        <f t="shared" si="4"/>
        <v>3396</v>
      </c>
      <c r="JN3" s="69">
        <f t="shared" si="4"/>
        <v>2658</v>
      </c>
      <c r="JO3" s="69">
        <f t="shared" si="4"/>
        <v>1354</v>
      </c>
      <c r="JP3" s="69">
        <f t="shared" si="4"/>
        <v>1354</v>
      </c>
      <c r="JQ3" s="69">
        <f t="shared" si="4"/>
        <v>451</v>
      </c>
      <c r="JR3" s="69">
        <f t="shared" si="4"/>
        <v>1598</v>
      </c>
      <c r="JS3" s="69">
        <f t="shared" si="4"/>
        <v>1808</v>
      </c>
      <c r="JT3" s="69">
        <f t="shared" si="4"/>
        <v>1878</v>
      </c>
      <c r="JU3" s="69">
        <f t="shared" si="4"/>
        <v>1122</v>
      </c>
      <c r="JV3" s="69">
        <f t="shared" si="4"/>
        <v>1122</v>
      </c>
      <c r="JW3" s="69">
        <f t="shared" si="4"/>
        <v>1122</v>
      </c>
      <c r="JX3" s="69">
        <f t="shared" si="4"/>
        <v>1818</v>
      </c>
      <c r="JY3" s="69">
        <f t="shared" si="4"/>
        <v>1903</v>
      </c>
      <c r="JZ3" s="69">
        <f t="shared" si="4"/>
        <v>2099</v>
      </c>
      <c r="KA3" s="69">
        <f t="shared" si="4"/>
        <v>1641</v>
      </c>
      <c r="KB3" s="69">
        <f t="shared" si="4"/>
        <v>1336</v>
      </c>
      <c r="KC3" s="69">
        <f t="shared" si="4"/>
        <v>1336</v>
      </c>
      <c r="KD3" s="69">
        <f t="shared" si="4"/>
        <v>1336</v>
      </c>
      <c r="KE3" s="69">
        <f t="shared" si="4"/>
        <v>1336</v>
      </c>
      <c r="KF3" s="69">
        <f t="shared" si="4"/>
        <v>1987</v>
      </c>
      <c r="KG3" s="69">
        <f t="shared" si="4"/>
        <v>3010</v>
      </c>
      <c r="KH3" s="69">
        <f t="shared" si="4"/>
        <v>3610</v>
      </c>
      <c r="KI3" s="69">
        <f t="shared" si="4"/>
        <v>3231</v>
      </c>
      <c r="KJ3" s="69">
        <f t="shared" si="4"/>
        <v>3231</v>
      </c>
      <c r="KK3" s="69">
        <f t="shared" si="4"/>
        <v>3231</v>
      </c>
      <c r="KL3" s="69">
        <f t="shared" si="4"/>
        <v>3225</v>
      </c>
      <c r="KM3" s="69">
        <f t="shared" si="4"/>
        <v>3247</v>
      </c>
      <c r="KN3" s="69">
        <f t="shared" si="4"/>
        <v>3274</v>
      </c>
      <c r="KO3" s="69">
        <f t="shared" si="4"/>
        <v>2596</v>
      </c>
      <c r="KP3" s="69">
        <f t="shared" si="4"/>
        <v>1500</v>
      </c>
      <c r="KQ3" s="69">
        <f t="shared" si="4"/>
        <v>1500</v>
      </c>
      <c r="KR3" s="69">
        <f t="shared" si="4"/>
        <v>1500</v>
      </c>
      <c r="KS3" s="69">
        <f t="shared" si="4"/>
        <v>1453</v>
      </c>
      <c r="KT3" s="69">
        <f t="shared" si="4"/>
        <v>1317</v>
      </c>
      <c r="KU3" s="69">
        <f t="shared" si="4"/>
        <v>1558</v>
      </c>
      <c r="KV3" s="69">
        <f t="shared" si="4"/>
        <v>982</v>
      </c>
      <c r="KW3" s="69">
        <f t="shared" si="4"/>
        <v>377</v>
      </c>
      <c r="KX3" s="69">
        <f t="shared" si="4"/>
        <v>377</v>
      </c>
      <c r="KY3" s="69">
        <f t="shared" si="4"/>
        <v>377</v>
      </c>
      <c r="KZ3" s="69">
        <f t="shared" si="4"/>
        <v>377</v>
      </c>
      <c r="LA3" s="69">
        <f t="shared" ref="LA3" si="5">+KZ3+KZ4-KZ5-KZ6-KZ7</f>
        <v>1476</v>
      </c>
      <c r="LB3" s="69">
        <f t="shared" ref="LB3" si="6">+LA3+LA4-LA5-LA6-LA7</f>
        <v>1515</v>
      </c>
      <c r="LC3" s="69">
        <f t="shared" ref="LC3" si="7">+LB3+LB4-LB5-LB6-LB7</f>
        <v>1510</v>
      </c>
      <c r="LD3" s="69">
        <f t="shared" si="4"/>
        <v>1395</v>
      </c>
      <c r="LE3" s="69">
        <f t="shared" si="4"/>
        <v>1395</v>
      </c>
      <c r="LF3" s="69">
        <f t="shared" si="4"/>
        <v>1395</v>
      </c>
      <c r="LG3" s="69">
        <f t="shared" si="4"/>
        <v>1811</v>
      </c>
      <c r="LH3" s="69">
        <f t="shared" si="4"/>
        <v>1826</v>
      </c>
      <c r="LI3" s="69">
        <f t="shared" si="4"/>
        <v>1147</v>
      </c>
      <c r="LJ3" s="69">
        <f t="shared" si="4"/>
        <v>1384</v>
      </c>
      <c r="LK3" s="69">
        <f t="shared" si="4"/>
        <v>630</v>
      </c>
      <c r="LL3" s="69">
        <f t="shared" ref="LL3:NG3" si="8">+LK3+LK4-LK5-LK6-LK7</f>
        <v>630</v>
      </c>
      <c r="LM3" s="69">
        <f t="shared" si="8"/>
        <v>630</v>
      </c>
      <c r="LN3" s="69">
        <f t="shared" si="8"/>
        <v>2208</v>
      </c>
      <c r="LO3" s="69">
        <f t="shared" si="8"/>
        <v>2028</v>
      </c>
      <c r="LP3" s="69">
        <f t="shared" si="8"/>
        <v>2351</v>
      </c>
      <c r="LQ3" s="69">
        <f t="shared" si="8"/>
        <v>2614</v>
      </c>
      <c r="LR3" s="69">
        <f t="shared" si="8"/>
        <v>1428</v>
      </c>
      <c r="LS3" s="69">
        <f t="shared" si="8"/>
        <v>1428</v>
      </c>
      <c r="LT3" s="69">
        <f t="shared" si="8"/>
        <v>1428</v>
      </c>
      <c r="LU3" s="69">
        <f t="shared" si="8"/>
        <v>1932</v>
      </c>
      <c r="LV3" s="69">
        <f t="shared" si="8"/>
        <v>2084</v>
      </c>
      <c r="LW3" s="69">
        <f t="shared" si="8"/>
        <v>1329</v>
      </c>
      <c r="LX3" s="69">
        <f t="shared" si="8"/>
        <v>1638</v>
      </c>
      <c r="LY3" s="69">
        <f t="shared" si="8"/>
        <v>1404</v>
      </c>
      <c r="LZ3" s="69">
        <f t="shared" si="8"/>
        <v>1404</v>
      </c>
      <c r="MA3" s="69">
        <f t="shared" si="8"/>
        <v>1404</v>
      </c>
      <c r="MB3" s="69">
        <f t="shared" si="8"/>
        <v>2223</v>
      </c>
      <c r="MC3" s="69">
        <f t="shared" si="8"/>
        <v>1910</v>
      </c>
      <c r="MD3" s="69">
        <f t="shared" si="8"/>
        <v>1937</v>
      </c>
      <c r="ME3" s="69">
        <f t="shared" si="8"/>
        <v>1287</v>
      </c>
      <c r="MF3" s="69">
        <f t="shared" si="8"/>
        <v>510</v>
      </c>
      <c r="MG3" s="69">
        <f t="shared" si="8"/>
        <v>510</v>
      </c>
      <c r="MH3" s="69">
        <f t="shared" si="8"/>
        <v>510</v>
      </c>
      <c r="MI3" s="69">
        <f t="shared" si="8"/>
        <v>1324</v>
      </c>
      <c r="MJ3" s="69">
        <f t="shared" si="8"/>
        <v>1402</v>
      </c>
      <c r="MK3" s="69">
        <f t="shared" si="8"/>
        <v>1402</v>
      </c>
      <c r="ML3" s="69">
        <f t="shared" si="8"/>
        <v>1008</v>
      </c>
      <c r="MM3" s="69">
        <f t="shared" si="8"/>
        <v>196</v>
      </c>
      <c r="MN3" s="69">
        <f t="shared" si="8"/>
        <v>196</v>
      </c>
      <c r="MO3" s="69">
        <f t="shared" si="8"/>
        <v>196</v>
      </c>
      <c r="MP3" s="69">
        <f t="shared" si="8"/>
        <v>1274</v>
      </c>
      <c r="MQ3" s="69">
        <f t="shared" si="8"/>
        <v>1742</v>
      </c>
      <c r="MR3" s="69">
        <f t="shared" si="8"/>
        <v>1945</v>
      </c>
      <c r="MS3" s="69">
        <f t="shared" si="8"/>
        <v>855</v>
      </c>
      <c r="MT3" s="69">
        <f t="shared" si="8"/>
        <v>855</v>
      </c>
      <c r="MU3" s="69">
        <f t="shared" si="8"/>
        <v>855</v>
      </c>
      <c r="MV3" s="69">
        <f t="shared" si="8"/>
        <v>855</v>
      </c>
      <c r="MW3" s="69">
        <f t="shared" si="8"/>
        <v>1237</v>
      </c>
      <c r="MX3" s="69">
        <f t="shared" si="8"/>
        <v>1468</v>
      </c>
      <c r="MY3" s="69">
        <f t="shared" si="8"/>
        <v>2113</v>
      </c>
      <c r="MZ3" s="69">
        <f t="shared" si="8"/>
        <v>1348</v>
      </c>
      <c r="NA3" s="69">
        <f t="shared" si="8"/>
        <v>709</v>
      </c>
      <c r="NB3" s="69">
        <f t="shared" si="8"/>
        <v>709</v>
      </c>
      <c r="NC3" s="69">
        <f t="shared" si="8"/>
        <v>709</v>
      </c>
      <c r="ND3" s="69">
        <f t="shared" si="8"/>
        <v>1795</v>
      </c>
      <c r="NE3" s="69">
        <f t="shared" si="8"/>
        <v>2055</v>
      </c>
      <c r="NF3" s="69">
        <f t="shared" si="8"/>
        <v>2394</v>
      </c>
      <c r="NG3" s="69">
        <f t="shared" si="8"/>
        <v>1524</v>
      </c>
      <c r="NH3" s="69">
        <f t="shared" ref="NH3" si="9">+NG3+NG4-NG5-NG6-NG7</f>
        <v>1029</v>
      </c>
      <c r="NI3" s="69">
        <f t="shared" ref="NI3" si="10">+NH3+NH4-NH5-NH6-NH7</f>
        <v>1029</v>
      </c>
    </row>
    <row r="4" spans="1:1067" x14ac:dyDescent="0.2">
      <c r="A4" s="5" t="s">
        <v>2</v>
      </c>
      <c r="B4" s="70"/>
      <c r="C4" s="71">
        <v>1511</v>
      </c>
      <c r="D4" s="71">
        <v>1119</v>
      </c>
      <c r="E4" s="71">
        <v>667</v>
      </c>
      <c r="F4" s="71"/>
      <c r="G4" s="71"/>
      <c r="H4" s="71"/>
      <c r="I4" s="71"/>
      <c r="J4" s="71">
        <v>876</v>
      </c>
      <c r="K4" s="71">
        <v>1199</v>
      </c>
      <c r="L4" s="71">
        <v>615</v>
      </c>
      <c r="M4" s="71">
        <v>597</v>
      </c>
      <c r="N4" s="71"/>
      <c r="O4" s="71"/>
      <c r="P4" s="71"/>
      <c r="Q4" s="71">
        <v>930</v>
      </c>
      <c r="R4" s="71">
        <v>740</v>
      </c>
      <c r="S4" s="71">
        <v>879</v>
      </c>
      <c r="T4" s="71">
        <v>315</v>
      </c>
      <c r="U4" s="71"/>
      <c r="V4" s="71"/>
      <c r="W4" s="71"/>
      <c r="X4" s="71">
        <v>1371</v>
      </c>
      <c r="Y4" s="71">
        <v>1327</v>
      </c>
      <c r="Z4" s="71">
        <v>691</v>
      </c>
      <c r="AA4" s="71"/>
      <c r="AB4" s="71"/>
      <c r="AC4" s="71"/>
      <c r="AD4" s="71"/>
      <c r="AE4" s="71">
        <v>1263</v>
      </c>
      <c r="AF4" s="71">
        <v>769</v>
      </c>
      <c r="AG4" s="71">
        <v>1036</v>
      </c>
      <c r="AH4" s="71">
        <v>237</v>
      </c>
      <c r="AI4" s="71"/>
      <c r="AJ4" s="71"/>
      <c r="AK4" s="71"/>
      <c r="AL4" s="71">
        <v>1338</v>
      </c>
      <c r="AM4" s="71">
        <v>1190</v>
      </c>
      <c r="AN4" s="71">
        <v>737</v>
      </c>
      <c r="AO4" s="71"/>
      <c r="AP4" s="71"/>
      <c r="AQ4" s="71">
        <v>489</v>
      </c>
      <c r="AR4" s="71"/>
      <c r="AS4" s="71">
        <v>1292</v>
      </c>
      <c r="AT4" s="71">
        <v>894</v>
      </c>
      <c r="AU4" s="71">
        <v>877</v>
      </c>
      <c r="AV4" s="71">
        <v>492</v>
      </c>
      <c r="AW4" s="71"/>
      <c r="AX4" s="71"/>
      <c r="AY4" s="71"/>
      <c r="AZ4" s="71">
        <v>1422</v>
      </c>
      <c r="BA4" s="71">
        <v>1767</v>
      </c>
      <c r="BB4" s="71">
        <v>1044</v>
      </c>
      <c r="BC4" s="71"/>
      <c r="BD4" s="71"/>
      <c r="BE4" s="71"/>
      <c r="BF4" s="71"/>
      <c r="BG4" s="71">
        <v>1535</v>
      </c>
      <c r="BH4" s="71">
        <v>986</v>
      </c>
      <c r="BI4" s="71">
        <v>559</v>
      </c>
      <c r="BJ4" s="71">
        <v>408</v>
      </c>
      <c r="BK4" s="71">
        <v>237</v>
      </c>
      <c r="BL4" s="71"/>
      <c r="BM4" s="71"/>
      <c r="BN4" s="71">
        <v>1380</v>
      </c>
      <c r="BO4" s="71">
        <v>607</v>
      </c>
      <c r="BP4" s="71">
        <v>831</v>
      </c>
      <c r="BQ4" s="71">
        <v>596</v>
      </c>
      <c r="BR4" s="71">
        <v>1014</v>
      </c>
      <c r="BS4" s="71"/>
      <c r="BT4" s="71"/>
      <c r="BU4" s="71">
        <v>1800</v>
      </c>
      <c r="BV4" s="71">
        <v>1074</v>
      </c>
      <c r="BW4" s="71">
        <v>1057</v>
      </c>
      <c r="BX4" s="71"/>
      <c r="BY4" s="71"/>
      <c r="BZ4" s="71"/>
      <c r="CA4" s="71"/>
      <c r="CB4" s="71">
        <v>1387</v>
      </c>
      <c r="CC4" s="71">
        <v>1348</v>
      </c>
      <c r="CD4" s="71">
        <v>814</v>
      </c>
      <c r="CE4" s="71"/>
      <c r="CF4" s="71"/>
      <c r="CG4" s="71"/>
      <c r="CH4" s="71"/>
      <c r="CI4" s="71">
        <v>1340</v>
      </c>
      <c r="CJ4" s="71">
        <v>1315</v>
      </c>
      <c r="CK4" s="71">
        <v>780</v>
      </c>
      <c r="CL4" s="71"/>
      <c r="CM4" s="71"/>
      <c r="CN4" s="71"/>
      <c r="CO4" s="71"/>
      <c r="CP4" s="71">
        <v>1433</v>
      </c>
      <c r="CQ4" s="71">
        <v>997</v>
      </c>
      <c r="CR4" s="71">
        <v>134</v>
      </c>
      <c r="CS4" s="71"/>
      <c r="CT4" s="71"/>
      <c r="CU4" s="71"/>
      <c r="CV4" s="71"/>
      <c r="CW4" s="71">
        <v>1104</v>
      </c>
      <c r="CX4" s="71">
        <v>1011</v>
      </c>
      <c r="CY4" s="71">
        <v>787</v>
      </c>
      <c r="CZ4" s="71">
        <v>676</v>
      </c>
      <c r="DA4" s="71"/>
      <c r="DB4" s="71"/>
      <c r="DC4" s="71"/>
      <c r="DD4" s="71">
        <v>1195</v>
      </c>
      <c r="DE4" s="71">
        <v>808</v>
      </c>
      <c r="DF4" s="71"/>
      <c r="DG4" s="71"/>
      <c r="DH4" s="71"/>
      <c r="DI4" s="71">
        <v>257</v>
      </c>
      <c r="DJ4" s="71"/>
      <c r="DK4" s="71">
        <v>1186</v>
      </c>
      <c r="DL4" s="71">
        <v>379</v>
      </c>
      <c r="DM4" s="71"/>
      <c r="DN4" s="71"/>
      <c r="DO4" s="71"/>
      <c r="DP4" s="71"/>
      <c r="DQ4" s="71"/>
      <c r="DR4" s="71"/>
      <c r="DS4" s="71">
        <v>1192</v>
      </c>
      <c r="DT4" s="71">
        <v>574</v>
      </c>
      <c r="DU4" s="71">
        <v>346</v>
      </c>
      <c r="DV4" s="71"/>
      <c r="DW4" s="71"/>
      <c r="DX4" s="71"/>
      <c r="DY4" s="71">
        <v>811</v>
      </c>
      <c r="DZ4" s="71">
        <v>373</v>
      </c>
      <c r="EA4" s="71">
        <v>282</v>
      </c>
      <c r="EB4" s="71"/>
      <c r="EC4" s="71"/>
      <c r="ED4" s="71"/>
      <c r="EE4" s="71"/>
      <c r="EF4" s="71">
        <v>736</v>
      </c>
      <c r="EG4" s="71">
        <v>446</v>
      </c>
      <c r="EH4" s="71">
        <v>204</v>
      </c>
      <c r="EI4" s="71"/>
      <c r="EJ4" s="71"/>
      <c r="EK4" s="71"/>
      <c r="EL4" s="71"/>
      <c r="EM4" s="71">
        <v>525</v>
      </c>
      <c r="EN4" s="71">
        <v>553</v>
      </c>
      <c r="EO4" s="71">
        <v>67</v>
      </c>
      <c r="EP4" s="71"/>
      <c r="EQ4" s="71"/>
      <c r="ER4" s="71"/>
      <c r="ES4" s="71"/>
      <c r="ET4" s="71"/>
      <c r="EU4" s="71"/>
      <c r="EV4" s="71"/>
      <c r="EW4" s="71">
        <v>116</v>
      </c>
      <c r="EX4" s="71"/>
      <c r="EY4" s="71"/>
      <c r="EZ4" s="71"/>
      <c r="FA4" s="71">
        <v>687</v>
      </c>
      <c r="FB4" s="71">
        <v>653</v>
      </c>
      <c r="FC4" s="71">
        <v>420</v>
      </c>
      <c r="FD4" s="71">
        <v>455</v>
      </c>
      <c r="FE4" s="71"/>
      <c r="FF4" s="71"/>
      <c r="FG4" s="71"/>
      <c r="FH4" s="71">
        <v>784</v>
      </c>
      <c r="FI4" s="71">
        <v>565</v>
      </c>
      <c r="FJ4" s="71">
        <v>290</v>
      </c>
      <c r="FK4" s="71"/>
      <c r="FL4" s="71"/>
      <c r="FM4" s="71"/>
      <c r="FN4" s="71"/>
      <c r="FO4" s="71">
        <v>693</v>
      </c>
      <c r="FP4" s="71">
        <v>429</v>
      </c>
      <c r="FQ4" s="71">
        <v>700</v>
      </c>
      <c r="FR4" s="71"/>
      <c r="FS4" s="71"/>
      <c r="FT4" s="71"/>
      <c r="FU4" s="71"/>
      <c r="FV4" s="71"/>
      <c r="FW4" s="71">
        <v>867</v>
      </c>
      <c r="FX4" s="71">
        <v>206</v>
      </c>
      <c r="FY4" s="71">
        <v>436</v>
      </c>
      <c r="FZ4" s="71">
        <v>300</v>
      </c>
      <c r="GA4" s="71"/>
      <c r="GB4" s="71"/>
      <c r="GC4" s="71"/>
      <c r="GD4" s="71">
        <v>1342</v>
      </c>
      <c r="GE4" s="71">
        <v>1426</v>
      </c>
      <c r="GF4" s="71">
        <v>580</v>
      </c>
      <c r="GG4" s="71"/>
      <c r="GH4" s="71">
        <v>600</v>
      </c>
      <c r="GI4" s="71"/>
      <c r="GJ4" s="71">
        <v>1209</v>
      </c>
      <c r="GK4" s="71"/>
      <c r="GL4" s="71"/>
      <c r="GM4" s="71">
        <v>390</v>
      </c>
      <c r="GN4" s="71"/>
      <c r="GO4" s="71"/>
      <c r="GP4" s="71"/>
      <c r="GQ4" s="71">
        <v>1040</v>
      </c>
      <c r="GR4" s="71"/>
      <c r="GS4" s="71">
        <v>795</v>
      </c>
      <c r="GT4" s="71"/>
      <c r="GU4" s="71"/>
      <c r="GV4" s="71"/>
      <c r="GW4" s="71"/>
      <c r="GX4" s="71">
        <v>756</v>
      </c>
      <c r="GY4" s="71">
        <v>400</v>
      </c>
      <c r="GZ4" s="71">
        <v>776</v>
      </c>
      <c r="HA4" s="71"/>
      <c r="HB4" s="71"/>
      <c r="HC4" s="71"/>
      <c r="HD4" s="71"/>
      <c r="HE4" s="71"/>
      <c r="HF4" s="71">
        <v>1222</v>
      </c>
      <c r="HG4" s="71">
        <v>926</v>
      </c>
      <c r="HH4" s="71">
        <v>734</v>
      </c>
      <c r="HI4" s="71">
        <v>495</v>
      </c>
      <c r="HJ4" s="71"/>
      <c r="HK4" s="71"/>
      <c r="HL4" s="71">
        <v>1380</v>
      </c>
      <c r="HM4" s="71">
        <v>782</v>
      </c>
      <c r="HN4" s="71">
        <v>1203</v>
      </c>
      <c r="HO4" s="71">
        <v>1020</v>
      </c>
      <c r="HP4" s="71">
        <v>1015</v>
      </c>
      <c r="HQ4" s="71"/>
      <c r="HR4" s="71"/>
      <c r="HS4" s="71">
        <v>1109</v>
      </c>
      <c r="HT4" s="71">
        <v>623</v>
      </c>
      <c r="HU4" s="71">
        <v>989</v>
      </c>
      <c r="HV4" s="71">
        <v>691</v>
      </c>
      <c r="HW4" s="71">
        <v>53</v>
      </c>
      <c r="HX4" s="71">
        <v>630</v>
      </c>
      <c r="HY4" s="71"/>
      <c r="HZ4" s="71">
        <v>1312</v>
      </c>
      <c r="IA4" s="71">
        <v>1831</v>
      </c>
      <c r="IB4" s="71">
        <v>691</v>
      </c>
      <c r="IC4" s="71">
        <v>1091</v>
      </c>
      <c r="ID4" s="71"/>
      <c r="IE4" s="71"/>
      <c r="IF4" s="71"/>
      <c r="IG4" s="71">
        <v>1860</v>
      </c>
      <c r="IH4" s="71">
        <v>1000</v>
      </c>
      <c r="II4" s="71">
        <v>1491</v>
      </c>
      <c r="IJ4" s="71">
        <v>1218</v>
      </c>
      <c r="IK4" s="71"/>
      <c r="IL4" s="71">
        <v>606</v>
      </c>
      <c r="IM4" s="71"/>
      <c r="IN4" s="71">
        <v>1376</v>
      </c>
      <c r="IO4" s="71">
        <v>1266</v>
      </c>
      <c r="IP4" s="71">
        <v>1433</v>
      </c>
      <c r="IQ4" s="71">
        <v>1327</v>
      </c>
      <c r="IR4" s="71"/>
      <c r="IS4" s="71"/>
      <c r="IT4" s="71"/>
      <c r="IU4" s="71">
        <v>1141</v>
      </c>
      <c r="IV4" s="71">
        <v>604</v>
      </c>
      <c r="IW4" s="71">
        <v>1337</v>
      </c>
      <c r="IX4" s="71">
        <v>1059</v>
      </c>
      <c r="IY4" s="71">
        <v>992</v>
      </c>
      <c r="IZ4" s="71">
        <v>556</v>
      </c>
      <c r="JA4" s="71"/>
      <c r="JB4" s="71">
        <v>1048</v>
      </c>
      <c r="JC4" s="71">
        <v>730</v>
      </c>
      <c r="JD4" s="71"/>
      <c r="JE4" s="71"/>
      <c r="JF4" s="71"/>
      <c r="JG4" s="71"/>
      <c r="JH4" s="71"/>
      <c r="JI4" s="71">
        <v>1680</v>
      </c>
      <c r="JJ4" s="71">
        <v>1200</v>
      </c>
      <c r="JK4" s="71">
        <v>1522</v>
      </c>
      <c r="JL4" s="71">
        <v>1211</v>
      </c>
      <c r="JM4" s="71"/>
      <c r="JN4" s="71"/>
      <c r="JO4" s="71"/>
      <c r="JP4" s="71"/>
      <c r="JQ4" s="71">
        <v>1746</v>
      </c>
      <c r="JR4" s="71">
        <v>1018</v>
      </c>
      <c r="JS4" s="71">
        <v>879</v>
      </c>
      <c r="JT4" s="71"/>
      <c r="JU4" s="71"/>
      <c r="JV4" s="71"/>
      <c r="JW4" s="71">
        <v>1548</v>
      </c>
      <c r="JX4" s="71">
        <v>1012</v>
      </c>
      <c r="JY4" s="71">
        <v>876</v>
      </c>
      <c r="JZ4" s="71">
        <v>761</v>
      </c>
      <c r="KA4" s="71"/>
      <c r="KB4" s="71"/>
      <c r="KC4" s="71"/>
      <c r="KD4" s="71"/>
      <c r="KE4" s="71">
        <v>1551</v>
      </c>
      <c r="KF4" s="71">
        <v>1519</v>
      </c>
      <c r="KG4" s="71">
        <v>1400</v>
      </c>
      <c r="KH4" s="71">
        <v>551</v>
      </c>
      <c r="KI4" s="71"/>
      <c r="KJ4" s="71"/>
      <c r="KK4" s="71">
        <v>1388</v>
      </c>
      <c r="KL4" s="71">
        <v>851</v>
      </c>
      <c r="KM4" s="71">
        <v>857</v>
      </c>
      <c r="KN4" s="71">
        <v>222</v>
      </c>
      <c r="KO4" s="71"/>
      <c r="KP4" s="71"/>
      <c r="KQ4" s="71"/>
      <c r="KR4" s="71">
        <v>1271</v>
      </c>
      <c r="KS4" s="71">
        <v>1025</v>
      </c>
      <c r="KT4" s="71">
        <v>1124</v>
      </c>
      <c r="KU4" s="71">
        <v>239</v>
      </c>
      <c r="KV4" s="71"/>
      <c r="KW4" s="71"/>
      <c r="KX4" s="71"/>
      <c r="KY4" s="71"/>
      <c r="KZ4" s="71">
        <v>1474</v>
      </c>
      <c r="LA4" s="71">
        <v>902</v>
      </c>
      <c r="LB4" s="71">
        <v>632</v>
      </c>
      <c r="LC4" s="71">
        <v>1126</v>
      </c>
      <c r="LD4" s="71"/>
      <c r="LE4" s="71"/>
      <c r="LF4" s="71">
        <v>1132</v>
      </c>
      <c r="LG4" s="71">
        <v>791</v>
      </c>
      <c r="LH4" s="71">
        <v>649</v>
      </c>
      <c r="LI4" s="71">
        <v>815</v>
      </c>
      <c r="LJ4" s="71"/>
      <c r="LK4" s="71"/>
      <c r="LL4" s="71"/>
      <c r="LM4" s="71">
        <v>1578</v>
      </c>
      <c r="LN4" s="71">
        <v>874</v>
      </c>
      <c r="LO4" s="71">
        <v>1166</v>
      </c>
      <c r="LP4" s="71">
        <v>790</v>
      </c>
      <c r="LQ4" s="71"/>
      <c r="LR4" s="71"/>
      <c r="LS4" s="71"/>
      <c r="LT4" s="71">
        <v>1320</v>
      </c>
      <c r="LU4" s="71">
        <v>1092</v>
      </c>
      <c r="LV4" s="71">
        <v>760</v>
      </c>
      <c r="LW4" s="71">
        <v>722</v>
      </c>
      <c r="LX4" s="71">
        <v>594</v>
      </c>
      <c r="LY4" s="71"/>
      <c r="LZ4" s="71"/>
      <c r="MA4" s="71">
        <v>1366</v>
      </c>
      <c r="MB4" s="71">
        <v>896</v>
      </c>
      <c r="MC4" s="71">
        <v>953</v>
      </c>
      <c r="MD4" s="71">
        <v>348</v>
      </c>
      <c r="ME4" s="71"/>
      <c r="MF4" s="71"/>
      <c r="MG4" s="71"/>
      <c r="MH4" s="71">
        <v>1324</v>
      </c>
      <c r="MI4" s="71">
        <v>855</v>
      </c>
      <c r="MJ4" s="71"/>
      <c r="MK4" s="71">
        <v>1146</v>
      </c>
      <c r="ML4" s="71"/>
      <c r="MM4" s="71"/>
      <c r="MN4" s="71"/>
      <c r="MO4" s="71">
        <v>1274</v>
      </c>
      <c r="MP4" s="71">
        <v>983</v>
      </c>
      <c r="MQ4" s="71">
        <v>921</v>
      </c>
      <c r="MR4" s="71"/>
      <c r="MS4" s="71"/>
      <c r="MT4" s="71"/>
      <c r="MU4" s="71"/>
      <c r="MV4" s="71">
        <v>1183</v>
      </c>
      <c r="MW4" s="71">
        <v>922</v>
      </c>
      <c r="MX4" s="71">
        <v>1459</v>
      </c>
      <c r="MY4" s="71"/>
      <c r="MZ4" s="71"/>
      <c r="NA4" s="71"/>
      <c r="NB4" s="71"/>
      <c r="NC4" s="71">
        <v>1465</v>
      </c>
      <c r="ND4" s="71">
        <v>1130</v>
      </c>
      <c r="NE4" s="71">
        <v>1031</v>
      </c>
      <c r="NF4" s="71">
        <v>388</v>
      </c>
      <c r="NG4" s="71"/>
      <c r="NH4" s="71"/>
      <c r="NI4" s="71"/>
    </row>
    <row r="5" spans="1:1067" x14ac:dyDescent="0.2">
      <c r="A5" s="7" t="s">
        <v>3</v>
      </c>
      <c r="B5" s="70"/>
      <c r="C5" s="72"/>
      <c r="D5" s="72">
        <v>644</v>
      </c>
      <c r="E5" s="72">
        <v>410</v>
      </c>
      <c r="F5" s="72"/>
      <c r="G5" s="72"/>
      <c r="H5" s="72"/>
      <c r="I5" s="72"/>
      <c r="J5" s="72"/>
      <c r="K5" s="72">
        <v>501</v>
      </c>
      <c r="L5" s="72">
        <v>157</v>
      </c>
      <c r="M5" s="72">
        <v>726</v>
      </c>
      <c r="N5" s="72">
        <v>612</v>
      </c>
      <c r="O5" s="72"/>
      <c r="P5" s="72"/>
      <c r="Q5" s="72"/>
      <c r="R5" s="72">
        <v>500</v>
      </c>
      <c r="S5" s="72">
        <v>503</v>
      </c>
      <c r="T5" s="72"/>
      <c r="U5" s="72">
        <v>437</v>
      </c>
      <c r="V5" s="72"/>
      <c r="W5" s="72"/>
      <c r="X5" s="72">
        <v>0</v>
      </c>
      <c r="Y5" s="72">
        <v>408</v>
      </c>
      <c r="Z5" s="72">
        <v>808</v>
      </c>
      <c r="AA5" s="72"/>
      <c r="AB5" s="72">
        <v>320</v>
      </c>
      <c r="AC5" s="72"/>
      <c r="AD5" s="72"/>
      <c r="AE5" s="72"/>
      <c r="AF5" s="72">
        <v>609</v>
      </c>
      <c r="AG5" s="72"/>
      <c r="AH5" s="72">
        <v>645</v>
      </c>
      <c r="AI5" s="72"/>
      <c r="AJ5" s="72"/>
      <c r="AK5" s="72"/>
      <c r="AL5" s="72"/>
      <c r="AM5" s="72">
        <v>593</v>
      </c>
      <c r="AN5" s="72">
        <v>598</v>
      </c>
      <c r="AO5" s="72"/>
      <c r="AP5" s="72">
        <v>599</v>
      </c>
      <c r="AQ5" s="72"/>
      <c r="AR5" s="72"/>
      <c r="AS5" s="72"/>
      <c r="AT5" s="72">
        <v>474</v>
      </c>
      <c r="AU5" s="72">
        <v>495</v>
      </c>
      <c r="AV5" s="72">
        <v>468</v>
      </c>
      <c r="AW5" s="72">
        <v>345</v>
      </c>
      <c r="AX5" s="72"/>
      <c r="AY5" s="72"/>
      <c r="AZ5" s="72"/>
      <c r="BA5" s="72">
        <v>521</v>
      </c>
      <c r="BB5" s="72">
        <v>1019</v>
      </c>
      <c r="BC5" s="72"/>
      <c r="BD5" s="72">
        <v>510</v>
      </c>
      <c r="BE5" s="72"/>
      <c r="BF5" s="72"/>
      <c r="BG5" s="72"/>
      <c r="BH5" s="72">
        <v>367</v>
      </c>
      <c r="BI5" s="72">
        <v>780</v>
      </c>
      <c r="BJ5" s="72">
        <v>338</v>
      </c>
      <c r="BK5" s="72">
        <v>260</v>
      </c>
      <c r="BL5" s="72"/>
      <c r="BM5" s="72"/>
      <c r="BN5" s="72">
        <v>237</v>
      </c>
      <c r="BO5" s="72">
        <v>730</v>
      </c>
      <c r="BP5" s="72">
        <v>364</v>
      </c>
      <c r="BQ5" s="72"/>
      <c r="BR5" s="72">
        <v>694</v>
      </c>
      <c r="BS5" s="72"/>
      <c r="BT5" s="72"/>
      <c r="BU5" s="72">
        <v>476</v>
      </c>
      <c r="BV5" s="72">
        <v>450</v>
      </c>
      <c r="BW5" s="72">
        <v>687</v>
      </c>
      <c r="BX5" s="72">
        <v>1052</v>
      </c>
      <c r="BY5" s="72"/>
      <c r="BZ5" s="72"/>
      <c r="CA5" s="72"/>
      <c r="CB5" s="72"/>
      <c r="CC5" s="72">
        <v>704</v>
      </c>
      <c r="CD5" s="72">
        <v>1027</v>
      </c>
      <c r="CE5" s="72"/>
      <c r="CF5" s="72">
        <v>345</v>
      </c>
      <c r="CG5" s="72"/>
      <c r="CH5" s="72"/>
      <c r="CI5" s="72"/>
      <c r="CJ5" s="72">
        <v>415</v>
      </c>
      <c r="CK5" s="72">
        <v>854</v>
      </c>
      <c r="CL5" s="72">
        <v>911</v>
      </c>
      <c r="CM5" s="72"/>
      <c r="CN5" s="72"/>
      <c r="CO5" s="72"/>
      <c r="CP5" s="72">
        <v>204</v>
      </c>
      <c r="CQ5" s="72">
        <v>378</v>
      </c>
      <c r="CR5" s="72">
        <v>1103</v>
      </c>
      <c r="CS5" s="72">
        <v>343</v>
      </c>
      <c r="CT5" s="72"/>
      <c r="CU5" s="72"/>
      <c r="CV5" s="72"/>
      <c r="CW5" s="72"/>
      <c r="CX5" s="72">
        <v>512</v>
      </c>
      <c r="CY5" s="72">
        <v>605</v>
      </c>
      <c r="CZ5" s="72">
        <v>635</v>
      </c>
      <c r="DA5" s="72">
        <v>1358</v>
      </c>
      <c r="DB5" s="72"/>
      <c r="DC5" s="72"/>
      <c r="DD5" s="72"/>
      <c r="DE5" s="72">
        <v>811</v>
      </c>
      <c r="DF5" s="72">
        <v>411</v>
      </c>
      <c r="DG5" s="72"/>
      <c r="DH5" s="72"/>
      <c r="DI5" s="72"/>
      <c r="DJ5" s="72"/>
      <c r="DK5" s="72">
        <v>241</v>
      </c>
      <c r="DL5" s="72">
        <v>854</v>
      </c>
      <c r="DM5" s="72">
        <v>486</v>
      </c>
      <c r="DN5" s="72"/>
      <c r="DO5" s="72">
        <v>241</v>
      </c>
      <c r="DP5" s="72"/>
      <c r="DQ5" s="72"/>
      <c r="DR5" s="72"/>
      <c r="DS5" s="72"/>
      <c r="DT5" s="72">
        <v>822</v>
      </c>
      <c r="DU5" s="72">
        <v>805</v>
      </c>
      <c r="DV5" s="72">
        <v>264</v>
      </c>
      <c r="DW5" s="72"/>
      <c r="DX5" s="72"/>
      <c r="DY5" s="72"/>
      <c r="DZ5" s="72">
        <v>804</v>
      </c>
      <c r="EA5" s="72"/>
      <c r="EB5" s="72">
        <v>522</v>
      </c>
      <c r="EC5" s="72"/>
      <c r="ED5" s="72"/>
      <c r="EE5" s="72"/>
      <c r="EF5" s="72"/>
      <c r="EG5" s="72">
        <v>546</v>
      </c>
      <c r="EH5" s="72">
        <v>514</v>
      </c>
      <c r="EI5" s="72">
        <v>20</v>
      </c>
      <c r="EJ5" s="72">
        <v>393</v>
      </c>
      <c r="EK5" s="72"/>
      <c r="EL5" s="72"/>
      <c r="EM5" s="72"/>
      <c r="EN5" s="72">
        <v>400</v>
      </c>
      <c r="EO5" s="72">
        <v>212</v>
      </c>
      <c r="EP5" s="72">
        <v>505</v>
      </c>
      <c r="EQ5" s="72"/>
      <c r="ER5" s="72"/>
      <c r="ES5" s="72"/>
      <c r="ET5" s="72"/>
      <c r="EU5" s="72">
        <v>154</v>
      </c>
      <c r="EV5" s="72"/>
      <c r="EW5" s="72"/>
      <c r="EX5" s="72">
        <v>97</v>
      </c>
      <c r="EY5" s="72"/>
      <c r="EZ5" s="72"/>
      <c r="FA5" s="72"/>
      <c r="FB5" s="72">
        <v>394</v>
      </c>
      <c r="FC5" s="72">
        <v>463</v>
      </c>
      <c r="FD5" s="72">
        <v>605</v>
      </c>
      <c r="FE5" s="72">
        <v>458</v>
      </c>
      <c r="FF5" s="72"/>
      <c r="FG5" s="72"/>
      <c r="FH5" s="72"/>
      <c r="FI5" s="72">
        <v>620</v>
      </c>
      <c r="FJ5" s="72">
        <v>552</v>
      </c>
      <c r="FK5" s="72"/>
      <c r="FL5" s="72">
        <v>454</v>
      </c>
      <c r="FM5" s="72"/>
      <c r="FN5" s="72"/>
      <c r="FO5" s="72"/>
      <c r="FP5" s="72">
        <v>252</v>
      </c>
      <c r="FQ5" s="72">
        <v>282</v>
      </c>
      <c r="FR5" s="72">
        <v>483</v>
      </c>
      <c r="FS5" s="72">
        <v>756</v>
      </c>
      <c r="FT5" s="72"/>
      <c r="FU5" s="72"/>
      <c r="FV5" s="72"/>
      <c r="FW5" s="72"/>
      <c r="FX5" s="72">
        <v>497</v>
      </c>
      <c r="FY5" s="72">
        <v>572</v>
      </c>
      <c r="FZ5" s="72">
        <v>516</v>
      </c>
      <c r="GA5" s="72"/>
      <c r="GB5" s="72"/>
      <c r="GC5" s="72"/>
      <c r="GD5" s="72"/>
      <c r="GE5" s="72">
        <v>846</v>
      </c>
      <c r="GF5" s="72">
        <v>560</v>
      </c>
      <c r="GG5" s="72">
        <v>790</v>
      </c>
      <c r="GH5" s="72"/>
      <c r="GI5" s="72"/>
      <c r="GJ5" s="72">
        <v>596</v>
      </c>
      <c r="GK5" s="72">
        <v>1105</v>
      </c>
      <c r="GL5" s="72"/>
      <c r="GM5" s="72">
        <v>666</v>
      </c>
      <c r="GN5" s="72">
        <v>416</v>
      </c>
      <c r="GO5" s="72"/>
      <c r="GP5" s="72"/>
      <c r="GQ5" s="72">
        <v>499</v>
      </c>
      <c r="GR5" s="72">
        <v>480</v>
      </c>
      <c r="GS5" s="72"/>
      <c r="GT5" s="72">
        <v>816</v>
      </c>
      <c r="GU5" s="72"/>
      <c r="GV5" s="72"/>
      <c r="GW5" s="72"/>
      <c r="GX5" s="72">
        <v>378</v>
      </c>
      <c r="GY5" s="72">
        <v>453</v>
      </c>
      <c r="GZ5" s="72">
        <v>336</v>
      </c>
      <c r="HA5" s="72">
        <v>516</v>
      </c>
      <c r="HB5" s="72">
        <v>334</v>
      </c>
      <c r="HC5" s="72"/>
      <c r="HD5" s="72"/>
      <c r="HE5" s="72"/>
      <c r="HF5" s="72">
        <v>700</v>
      </c>
      <c r="HG5" s="72">
        <v>502</v>
      </c>
      <c r="HH5" s="72">
        <v>703</v>
      </c>
      <c r="HI5" s="72">
        <v>1054</v>
      </c>
      <c r="HJ5" s="72"/>
      <c r="HK5" s="72"/>
      <c r="HL5" s="72">
        <v>370</v>
      </c>
      <c r="HM5" s="72">
        <v>991</v>
      </c>
      <c r="HN5" s="72">
        <v>367</v>
      </c>
      <c r="HO5" s="72">
        <v>630</v>
      </c>
      <c r="HP5" s="72">
        <v>524</v>
      </c>
      <c r="HQ5" s="72"/>
      <c r="HR5" s="72"/>
      <c r="HS5" s="72">
        <v>1027</v>
      </c>
      <c r="HT5" s="72">
        <v>923</v>
      </c>
      <c r="HU5" s="72">
        <v>967</v>
      </c>
      <c r="HV5" s="72">
        <v>895</v>
      </c>
      <c r="HW5" s="72">
        <v>1254</v>
      </c>
      <c r="HX5" s="72"/>
      <c r="HY5" s="72"/>
      <c r="HZ5" s="72">
        <v>926</v>
      </c>
      <c r="IA5" s="72">
        <v>800</v>
      </c>
      <c r="IB5" s="72">
        <v>1062</v>
      </c>
      <c r="IC5" s="72">
        <v>1053</v>
      </c>
      <c r="ID5" s="72">
        <v>655</v>
      </c>
      <c r="IE5" s="72"/>
      <c r="IF5" s="72"/>
      <c r="IG5" s="72">
        <v>1113</v>
      </c>
      <c r="IH5" s="72">
        <v>793</v>
      </c>
      <c r="II5" s="72">
        <v>993</v>
      </c>
      <c r="IJ5" s="72">
        <v>930</v>
      </c>
      <c r="IK5" s="72">
        <v>629</v>
      </c>
      <c r="IL5" s="72"/>
      <c r="IM5" s="72"/>
      <c r="IN5" s="72">
        <v>1093</v>
      </c>
      <c r="IO5" s="72">
        <v>1117</v>
      </c>
      <c r="IP5" s="72">
        <v>888</v>
      </c>
      <c r="IQ5" s="72">
        <v>1058</v>
      </c>
      <c r="IR5" s="72">
        <v>945</v>
      </c>
      <c r="IS5" s="72"/>
      <c r="IT5" s="72"/>
      <c r="IU5" s="72">
        <v>763</v>
      </c>
      <c r="IV5" s="72">
        <v>889</v>
      </c>
      <c r="IW5" s="72">
        <v>905</v>
      </c>
      <c r="IX5" s="72">
        <v>998</v>
      </c>
      <c r="IY5" s="72">
        <v>1101</v>
      </c>
      <c r="IZ5" s="72">
        <v>749</v>
      </c>
      <c r="JA5" s="72"/>
      <c r="JB5" s="72">
        <v>1050</v>
      </c>
      <c r="JC5" s="72">
        <v>900</v>
      </c>
      <c r="JD5" s="72">
        <v>1220</v>
      </c>
      <c r="JE5" s="72">
        <v>230</v>
      </c>
      <c r="JF5" s="72"/>
      <c r="JG5" s="72"/>
      <c r="JH5" s="72"/>
      <c r="JI5" s="72">
        <v>1239</v>
      </c>
      <c r="JJ5" s="72">
        <v>778</v>
      </c>
      <c r="JK5" s="72">
        <v>1126</v>
      </c>
      <c r="JL5" s="72">
        <v>866</v>
      </c>
      <c r="JM5" s="72">
        <v>738</v>
      </c>
      <c r="JN5" s="72">
        <v>1304</v>
      </c>
      <c r="JO5" s="72"/>
      <c r="JP5" s="72">
        <v>903</v>
      </c>
      <c r="JQ5" s="72">
        <v>599</v>
      </c>
      <c r="JR5" s="72">
        <v>808</v>
      </c>
      <c r="JS5" s="72">
        <v>809</v>
      </c>
      <c r="JT5" s="72">
        <v>756</v>
      </c>
      <c r="JU5" s="72"/>
      <c r="JV5" s="72"/>
      <c r="JW5" s="72">
        <v>852</v>
      </c>
      <c r="JX5" s="72">
        <v>927</v>
      </c>
      <c r="JY5" s="72">
        <v>680</v>
      </c>
      <c r="JZ5" s="72">
        <v>1219</v>
      </c>
      <c r="KA5" s="72">
        <v>305</v>
      </c>
      <c r="KB5" s="72"/>
      <c r="KC5" s="72"/>
      <c r="KD5" s="72"/>
      <c r="KE5" s="72">
        <v>900</v>
      </c>
      <c r="KF5" s="72">
        <v>496</v>
      </c>
      <c r="KG5" s="72">
        <v>800</v>
      </c>
      <c r="KH5" s="72">
        <v>930</v>
      </c>
      <c r="KI5" s="72"/>
      <c r="KJ5" s="72"/>
      <c r="KK5" s="96">
        <v>1357</v>
      </c>
      <c r="KL5" s="72">
        <v>829</v>
      </c>
      <c r="KM5" s="72">
        <v>807</v>
      </c>
      <c r="KN5" s="72">
        <v>900</v>
      </c>
      <c r="KO5" s="72">
        <v>893</v>
      </c>
      <c r="KP5" s="72"/>
      <c r="KQ5" s="72"/>
      <c r="KR5" s="72">
        <v>1275</v>
      </c>
      <c r="KS5" s="72">
        <v>975</v>
      </c>
      <c r="KT5" s="72">
        <v>870</v>
      </c>
      <c r="KU5" s="72">
        <v>815</v>
      </c>
      <c r="KV5" s="72">
        <v>605</v>
      </c>
      <c r="KW5" s="72"/>
      <c r="KX5" s="72"/>
      <c r="KY5" s="71"/>
      <c r="KZ5" s="72">
        <v>370</v>
      </c>
      <c r="LA5" s="72">
        <v>863</v>
      </c>
      <c r="LB5" s="72">
        <v>637</v>
      </c>
      <c r="LC5" s="72">
        <v>890</v>
      </c>
      <c r="LD5" s="72"/>
      <c r="LE5" s="72"/>
      <c r="LF5" s="72">
        <v>700</v>
      </c>
      <c r="LG5" s="72">
        <v>776</v>
      </c>
      <c r="LH5" s="72">
        <v>1114</v>
      </c>
      <c r="LI5" s="72">
        <v>578</v>
      </c>
      <c r="LJ5" s="72">
        <v>754</v>
      </c>
      <c r="LK5" s="72"/>
      <c r="LL5" s="72"/>
      <c r="LM5" s="72"/>
      <c r="LN5" s="72">
        <v>1038</v>
      </c>
      <c r="LO5" s="72">
        <v>843</v>
      </c>
      <c r="LP5" s="72">
        <v>527</v>
      </c>
      <c r="LQ5" s="72">
        <v>1175</v>
      </c>
      <c r="LR5" s="72"/>
      <c r="LS5" s="72"/>
      <c r="LT5" s="72">
        <v>800</v>
      </c>
      <c r="LU5" s="72">
        <v>940</v>
      </c>
      <c r="LV5" s="72">
        <v>1074</v>
      </c>
      <c r="LW5" s="72">
        <v>400</v>
      </c>
      <c r="LX5" s="72">
        <v>828</v>
      </c>
      <c r="LY5" s="72"/>
      <c r="LZ5" s="72"/>
      <c r="MA5" s="72">
        <v>531</v>
      </c>
      <c r="MB5" s="72">
        <v>1209</v>
      </c>
      <c r="MC5" s="72">
        <v>678</v>
      </c>
      <c r="MD5" s="72">
        <v>998</v>
      </c>
      <c r="ME5" s="72">
        <v>777</v>
      </c>
      <c r="MF5" s="72"/>
      <c r="MG5" s="72"/>
      <c r="MH5" s="72">
        <v>494</v>
      </c>
      <c r="MI5" s="72">
        <v>777</v>
      </c>
      <c r="MJ5" s="72"/>
      <c r="MK5" s="72">
        <v>1269</v>
      </c>
      <c r="ML5" s="72">
        <v>812</v>
      </c>
      <c r="MM5" s="72"/>
      <c r="MN5" s="72"/>
      <c r="MO5" s="72">
        <v>196</v>
      </c>
      <c r="MP5" s="72">
        <v>515</v>
      </c>
      <c r="MQ5" s="72">
        <v>500</v>
      </c>
      <c r="MR5" s="72">
        <v>1074</v>
      </c>
      <c r="MS5" s="72"/>
      <c r="MT5" s="72"/>
      <c r="MU5" s="72"/>
      <c r="MV5" s="72">
        <v>786</v>
      </c>
      <c r="MW5" s="72">
        <v>691</v>
      </c>
      <c r="MX5" s="72">
        <v>613</v>
      </c>
      <c r="MY5" s="72">
        <v>765</v>
      </c>
      <c r="MZ5" s="72">
        <v>639</v>
      </c>
      <c r="NA5" s="72"/>
      <c r="NB5" s="72"/>
      <c r="NC5" s="72">
        <v>369</v>
      </c>
      <c r="ND5" s="72">
        <v>853</v>
      </c>
      <c r="NE5" s="72">
        <v>682</v>
      </c>
      <c r="NF5" s="72">
        <v>1243</v>
      </c>
      <c r="NG5" s="72">
        <v>495</v>
      </c>
      <c r="NH5" s="72"/>
      <c r="NI5" s="72"/>
    </row>
    <row r="6" spans="1:1067" x14ac:dyDescent="0.2">
      <c r="A6" s="7" t="s">
        <v>4</v>
      </c>
      <c r="B6" s="70"/>
      <c r="C6" s="72"/>
      <c r="D6" s="72"/>
      <c r="E6" s="72">
        <v>26</v>
      </c>
      <c r="F6" s="72"/>
      <c r="G6" s="72"/>
      <c r="H6" s="72"/>
      <c r="I6" s="72"/>
      <c r="J6" s="72"/>
      <c r="K6" s="72"/>
      <c r="L6" s="72">
        <v>12</v>
      </c>
      <c r="M6" s="72">
        <v>30</v>
      </c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>
        <v>28</v>
      </c>
      <c r="AA6" s="72"/>
      <c r="AB6" s="72"/>
      <c r="AC6" s="72"/>
      <c r="AD6" s="72"/>
      <c r="AE6" s="72"/>
      <c r="AF6" s="72">
        <v>43</v>
      </c>
      <c r="AG6" s="72"/>
      <c r="AH6" s="72">
        <v>21</v>
      </c>
      <c r="AI6" s="72"/>
      <c r="AJ6" s="72"/>
      <c r="AK6" s="72"/>
      <c r="AL6" s="72"/>
      <c r="AM6" s="72">
        <v>9</v>
      </c>
      <c r="AN6" s="72"/>
      <c r="AO6" s="72"/>
      <c r="AP6" s="72">
        <v>92</v>
      </c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>
        <v>55</v>
      </c>
      <c r="BE6" s="72"/>
      <c r="BF6" s="72"/>
      <c r="BG6" s="72"/>
      <c r="BH6" s="72"/>
      <c r="BI6" s="72"/>
      <c r="BJ6" s="72">
        <v>28</v>
      </c>
      <c r="BK6" s="72"/>
      <c r="BL6" s="72"/>
      <c r="BM6" s="72"/>
      <c r="BN6" s="72"/>
      <c r="BO6" s="72"/>
      <c r="BP6" s="72"/>
      <c r="BQ6" s="72"/>
      <c r="BR6" s="72">
        <v>32</v>
      </c>
      <c r="BS6" s="72"/>
      <c r="BT6" s="72"/>
      <c r="BU6" s="72"/>
      <c r="BV6" s="72"/>
      <c r="BW6" s="72"/>
      <c r="BX6" s="72">
        <v>137</v>
      </c>
      <c r="BY6" s="72"/>
      <c r="BZ6" s="72"/>
      <c r="CA6" s="72"/>
      <c r="CB6" s="72"/>
      <c r="CC6" s="72">
        <v>37</v>
      </c>
      <c r="CD6" s="72"/>
      <c r="CE6" s="72"/>
      <c r="CF6" s="72"/>
      <c r="CG6" s="72"/>
      <c r="CH6" s="72"/>
      <c r="CI6" s="72"/>
      <c r="CJ6" s="72"/>
      <c r="CK6" s="72"/>
      <c r="CL6" s="72">
        <v>16</v>
      </c>
      <c r="CM6" s="72"/>
      <c r="CN6" s="72"/>
      <c r="CO6" s="72"/>
      <c r="CP6" s="72">
        <v>18</v>
      </c>
      <c r="CQ6" s="72"/>
      <c r="CR6" s="72"/>
      <c r="CS6" s="72">
        <v>16</v>
      </c>
      <c r="CT6" s="72"/>
      <c r="CU6" s="72"/>
      <c r="CV6" s="72"/>
      <c r="CW6" s="72"/>
      <c r="CX6" s="72">
        <v>12</v>
      </c>
      <c r="CY6" s="72"/>
      <c r="CZ6" s="72"/>
      <c r="DA6" s="72">
        <v>38</v>
      </c>
      <c r="DB6" s="72"/>
      <c r="DC6" s="72"/>
      <c r="DD6" s="72"/>
      <c r="DE6" s="72">
        <v>38</v>
      </c>
      <c r="DF6" s="72">
        <v>8</v>
      </c>
      <c r="DG6" s="72"/>
      <c r="DH6" s="72"/>
      <c r="DI6" s="72"/>
      <c r="DJ6" s="72"/>
      <c r="DK6" s="72"/>
      <c r="DL6" s="72"/>
      <c r="DM6" s="72"/>
      <c r="DN6" s="72"/>
      <c r="DO6" s="72"/>
      <c r="DP6" s="72"/>
      <c r="DQ6" s="72"/>
      <c r="DR6" s="72"/>
      <c r="DS6" s="72"/>
      <c r="DT6" s="72">
        <v>39</v>
      </c>
      <c r="DU6" s="72">
        <v>17</v>
      </c>
      <c r="DV6" s="72">
        <v>5</v>
      </c>
      <c r="DW6" s="72"/>
      <c r="DX6" s="72"/>
      <c r="DY6" s="72"/>
      <c r="DZ6" s="72">
        <v>12</v>
      </c>
      <c r="EA6" s="72"/>
      <c r="EB6" s="72">
        <v>18</v>
      </c>
      <c r="EC6" s="72"/>
      <c r="ED6" s="72"/>
      <c r="EE6" s="72"/>
      <c r="EF6" s="72"/>
      <c r="EG6" s="72">
        <v>12</v>
      </c>
      <c r="EH6" s="72"/>
      <c r="EI6" s="72"/>
      <c r="EJ6" s="72">
        <v>6</v>
      </c>
      <c r="EK6" s="72"/>
      <c r="EL6" s="72"/>
      <c r="EM6" s="72"/>
      <c r="EN6" s="72"/>
      <c r="EO6" s="72"/>
      <c r="EP6" s="72"/>
      <c r="EQ6" s="72"/>
      <c r="ER6" s="72"/>
      <c r="ES6" s="72"/>
      <c r="ET6" s="72"/>
      <c r="EU6" s="72">
        <v>9</v>
      </c>
      <c r="EV6" s="72"/>
      <c r="EW6" s="72"/>
      <c r="EX6" s="72"/>
      <c r="EY6" s="72"/>
      <c r="EZ6" s="72"/>
      <c r="FA6" s="72"/>
      <c r="FB6" s="72">
        <v>17</v>
      </c>
      <c r="FC6" s="72">
        <v>9</v>
      </c>
      <c r="FD6" s="72"/>
      <c r="FE6" s="72">
        <v>7</v>
      </c>
      <c r="FF6" s="72"/>
      <c r="FG6" s="72"/>
      <c r="FH6" s="72"/>
      <c r="FI6" s="72"/>
      <c r="FJ6" s="72"/>
      <c r="FK6" s="72"/>
      <c r="FL6" s="72">
        <v>13</v>
      </c>
      <c r="FM6" s="72"/>
      <c r="FN6" s="72"/>
      <c r="FO6" s="72"/>
      <c r="FP6" s="72"/>
      <c r="FQ6" s="72"/>
      <c r="FR6" s="72"/>
      <c r="FS6" s="72"/>
      <c r="FT6" s="72"/>
      <c r="FU6" s="72"/>
      <c r="FV6" s="72"/>
      <c r="FW6" s="72"/>
      <c r="FX6" s="72">
        <v>14</v>
      </c>
      <c r="FY6" s="72" t="s">
        <v>139</v>
      </c>
      <c r="FZ6" s="72">
        <v>14</v>
      </c>
      <c r="GA6" s="72"/>
      <c r="GB6" s="72"/>
      <c r="GC6" s="72"/>
      <c r="GD6" s="72"/>
      <c r="GE6" s="72"/>
      <c r="GF6" s="72">
        <v>14</v>
      </c>
      <c r="GG6" s="72">
        <v>28</v>
      </c>
      <c r="GH6" s="72"/>
      <c r="GI6" s="72"/>
      <c r="GJ6" s="72">
        <v>78</v>
      </c>
      <c r="GK6" s="72">
        <v>41</v>
      </c>
      <c r="GL6" s="72"/>
      <c r="GM6" s="72">
        <v>40</v>
      </c>
      <c r="GN6" s="72">
        <v>18</v>
      </c>
      <c r="GO6" s="72"/>
      <c r="GP6" s="72"/>
      <c r="GQ6" s="72">
        <v>57</v>
      </c>
      <c r="GR6" s="72">
        <v>37</v>
      </c>
      <c r="GS6" s="72"/>
      <c r="GT6" s="72">
        <v>15</v>
      </c>
      <c r="GU6" s="72"/>
      <c r="GV6" s="72"/>
      <c r="GW6" s="72"/>
      <c r="GX6" s="72">
        <v>7</v>
      </c>
      <c r="GY6" s="72">
        <v>22</v>
      </c>
      <c r="GZ6" s="72">
        <v>14</v>
      </c>
      <c r="HA6" s="72"/>
      <c r="HB6" s="72"/>
      <c r="HC6" s="72"/>
      <c r="HD6" s="72"/>
      <c r="HE6" s="72"/>
      <c r="HF6" s="72"/>
      <c r="HG6" s="72">
        <v>6</v>
      </c>
      <c r="HH6" s="72">
        <v>12</v>
      </c>
      <c r="HI6" s="72">
        <v>18</v>
      </c>
      <c r="HJ6" s="72"/>
      <c r="HK6" s="72"/>
      <c r="HL6" s="72"/>
      <c r="HM6" s="72">
        <v>63</v>
      </c>
      <c r="HN6" s="72"/>
      <c r="HO6" s="72"/>
      <c r="HP6" s="72"/>
      <c r="HQ6" s="72"/>
      <c r="HR6" s="72"/>
      <c r="HS6" s="72">
        <v>214</v>
      </c>
      <c r="HT6" s="72">
        <v>98</v>
      </c>
      <c r="HU6" s="72">
        <v>108</v>
      </c>
      <c r="HV6" s="72"/>
      <c r="HW6" s="72">
        <v>25</v>
      </c>
      <c r="HX6" s="72"/>
      <c r="HY6" s="72"/>
      <c r="HZ6" s="72">
        <v>110</v>
      </c>
      <c r="IA6" s="72"/>
      <c r="IB6" s="72">
        <v>27</v>
      </c>
      <c r="IC6" s="72">
        <v>68</v>
      </c>
      <c r="ID6" s="72"/>
      <c r="IE6" s="72"/>
      <c r="IF6" s="72"/>
      <c r="IG6" s="72">
        <v>267</v>
      </c>
      <c r="IH6" s="72"/>
      <c r="II6" s="72">
        <v>17</v>
      </c>
      <c r="IJ6" s="72"/>
      <c r="IK6" s="72"/>
      <c r="IL6" s="72"/>
      <c r="IM6" s="72"/>
      <c r="IN6" s="72">
        <v>93</v>
      </c>
      <c r="IO6" s="72">
        <v>8</v>
      </c>
      <c r="IP6" s="72"/>
      <c r="IQ6" s="72">
        <v>90</v>
      </c>
      <c r="IR6" s="72">
        <v>39</v>
      </c>
      <c r="IS6" s="72"/>
      <c r="IT6" s="72"/>
      <c r="IU6" s="72">
        <v>105</v>
      </c>
      <c r="IV6" s="72"/>
      <c r="IW6" s="72">
        <v>135</v>
      </c>
      <c r="IX6" s="72"/>
      <c r="IY6" s="72"/>
      <c r="IZ6" s="72"/>
      <c r="JA6" s="72"/>
      <c r="JB6" s="72">
        <v>135</v>
      </c>
      <c r="JC6" s="72">
        <v>64</v>
      </c>
      <c r="JD6" s="72">
        <v>105</v>
      </c>
      <c r="JE6" s="72"/>
      <c r="JF6" s="72"/>
      <c r="JG6" s="72"/>
      <c r="JH6" s="72"/>
      <c r="JI6" s="72">
        <v>21</v>
      </c>
      <c r="JJ6" s="72">
        <v>17</v>
      </c>
      <c r="JK6" s="72"/>
      <c r="JL6" s="72"/>
      <c r="JM6" s="72"/>
      <c r="JN6" s="72"/>
      <c r="JO6" s="72"/>
      <c r="JP6" s="72"/>
      <c r="JQ6" s="72"/>
      <c r="JR6" s="72"/>
      <c r="JS6" s="72"/>
      <c r="JT6" s="72"/>
      <c r="JU6" s="72"/>
      <c r="JV6" s="72"/>
      <c r="JW6" s="72"/>
      <c r="JX6" s="72"/>
      <c r="JY6" s="72"/>
      <c r="JZ6" s="72"/>
      <c r="KA6" s="72"/>
      <c r="KB6" s="72"/>
      <c r="KC6" s="72"/>
      <c r="KD6" s="72"/>
      <c r="KE6" s="72"/>
      <c r="KF6" s="72"/>
      <c r="KG6" s="72"/>
      <c r="KH6" s="72"/>
      <c r="KI6" s="72"/>
      <c r="KJ6" s="72"/>
      <c r="KK6" s="72">
        <v>37</v>
      </c>
      <c r="KL6" s="72"/>
      <c r="KM6" s="72">
        <v>23</v>
      </c>
      <c r="KN6" s="72"/>
      <c r="KO6" s="72"/>
      <c r="KP6" s="72"/>
      <c r="KQ6" s="72"/>
      <c r="KR6" s="72">
        <v>43</v>
      </c>
      <c r="KS6" s="72"/>
      <c r="KT6" s="72">
        <v>13</v>
      </c>
      <c r="KU6" s="72"/>
      <c r="KV6" s="72"/>
      <c r="KW6" s="72"/>
      <c r="KX6" s="72"/>
      <c r="KY6" s="71"/>
      <c r="KZ6" s="72">
        <v>5</v>
      </c>
      <c r="LA6" s="72"/>
      <c r="LB6" s="72"/>
      <c r="LC6" s="72"/>
      <c r="LD6" s="72"/>
      <c r="LE6" s="72"/>
      <c r="LF6" s="72">
        <v>16</v>
      </c>
      <c r="LG6" s="72"/>
      <c r="LH6" s="72"/>
      <c r="LI6" s="72"/>
      <c r="LJ6" s="72"/>
      <c r="LK6" s="72"/>
      <c r="LL6" s="72"/>
      <c r="LM6" s="72"/>
      <c r="LN6" s="72">
        <v>16</v>
      </c>
      <c r="LO6" s="72"/>
      <c r="LP6" s="72"/>
      <c r="LQ6" s="72">
        <v>11</v>
      </c>
      <c r="LR6" s="72"/>
      <c r="LS6" s="72"/>
      <c r="LT6" s="72">
        <v>16</v>
      </c>
      <c r="LU6" s="72"/>
      <c r="LV6" s="72"/>
      <c r="LW6" s="72">
        <v>13</v>
      </c>
      <c r="LX6" s="72"/>
      <c r="LY6" s="72"/>
      <c r="LZ6" s="72"/>
      <c r="MA6" s="72">
        <v>16</v>
      </c>
      <c r="MB6" s="72"/>
      <c r="MC6" s="72"/>
      <c r="MD6" s="72"/>
      <c r="ME6" s="72"/>
      <c r="MF6" s="72"/>
      <c r="MG6" s="72"/>
      <c r="MH6" s="72">
        <v>16</v>
      </c>
      <c r="MI6" s="72"/>
      <c r="MJ6" s="72"/>
      <c r="MK6" s="72"/>
      <c r="ML6" s="72"/>
      <c r="MM6" s="72"/>
      <c r="MN6" s="72"/>
      <c r="MO6" s="72"/>
      <c r="MP6" s="72"/>
      <c r="MQ6" s="72">
        <v>13</v>
      </c>
      <c r="MR6" s="72">
        <v>16</v>
      </c>
      <c r="MS6" s="72"/>
      <c r="MT6" s="72"/>
      <c r="MU6" s="72"/>
      <c r="MV6" s="72">
        <v>15</v>
      </c>
      <c r="MW6" s="72"/>
      <c r="MX6" s="72">
        <v>15</v>
      </c>
      <c r="MY6" s="72"/>
      <c r="MZ6" s="72"/>
      <c r="NA6" s="72"/>
      <c r="NB6" s="72"/>
      <c r="NC6" s="72">
        <v>10</v>
      </c>
      <c r="ND6" s="72">
        <v>17</v>
      </c>
      <c r="NE6" s="72">
        <v>10</v>
      </c>
      <c r="NF6" s="72">
        <v>15</v>
      </c>
      <c r="NG6" s="72"/>
      <c r="NH6" s="72"/>
      <c r="NI6" s="72"/>
    </row>
    <row r="7" spans="1:1067" ht="16" thickBot="1" x14ac:dyDescent="0.25">
      <c r="A7" s="6" t="s">
        <v>5</v>
      </c>
      <c r="B7" s="73"/>
      <c r="C7" s="74"/>
      <c r="D7" s="74">
        <v>1090</v>
      </c>
      <c r="E7" s="74">
        <v>1157</v>
      </c>
      <c r="F7" s="74"/>
      <c r="G7" s="74"/>
      <c r="H7" s="74"/>
      <c r="I7" s="74"/>
      <c r="J7" s="74"/>
      <c r="K7" s="74">
        <v>484</v>
      </c>
      <c r="L7" s="74"/>
      <c r="M7" s="74">
        <v>675</v>
      </c>
      <c r="N7" s="74"/>
      <c r="O7" s="74"/>
      <c r="P7" s="74"/>
      <c r="Q7" s="74">
        <v>282</v>
      </c>
      <c r="R7" s="74">
        <v>304</v>
      </c>
      <c r="S7" s="74">
        <v>447</v>
      </c>
      <c r="T7" s="74">
        <v>481</v>
      </c>
      <c r="U7" s="74"/>
      <c r="V7" s="74"/>
      <c r="W7" s="74"/>
      <c r="X7" s="74"/>
      <c r="Y7" s="74">
        <v>662</v>
      </c>
      <c r="Z7" s="74">
        <v>893</v>
      </c>
      <c r="AA7" s="74">
        <v>270</v>
      </c>
      <c r="AB7" s="74"/>
      <c r="AC7" s="74"/>
      <c r="AD7" s="74"/>
      <c r="AE7" s="74"/>
      <c r="AF7" s="74">
        <v>512</v>
      </c>
      <c r="AG7" s="74">
        <v>403</v>
      </c>
      <c r="AH7" s="74">
        <v>470</v>
      </c>
      <c r="AI7" s="74"/>
      <c r="AJ7" s="74"/>
      <c r="AK7" s="74"/>
      <c r="AL7" s="74"/>
      <c r="AM7" s="74">
        <v>752</v>
      </c>
      <c r="AN7" s="74">
        <v>886</v>
      </c>
      <c r="AO7" s="74">
        <v>338</v>
      </c>
      <c r="AP7" s="74"/>
      <c r="AQ7" s="74"/>
      <c r="AR7" s="74"/>
      <c r="AS7" s="74"/>
      <c r="AT7" s="74">
        <v>763</v>
      </c>
      <c r="AU7" s="74">
        <v>789</v>
      </c>
      <c r="AV7" s="74">
        <v>710</v>
      </c>
      <c r="AW7" s="74"/>
      <c r="AX7" s="74"/>
      <c r="AY7" s="74"/>
      <c r="AZ7" s="74"/>
      <c r="BA7" s="74">
        <v>617</v>
      </c>
      <c r="BB7" s="74">
        <v>699</v>
      </c>
      <c r="BC7" s="74">
        <v>812</v>
      </c>
      <c r="BD7" s="74"/>
      <c r="BE7" s="74"/>
      <c r="BF7" s="74"/>
      <c r="BG7" s="74"/>
      <c r="BH7" s="74">
        <v>458</v>
      </c>
      <c r="BI7" s="74">
        <v>469</v>
      </c>
      <c r="BJ7" s="74">
        <v>212</v>
      </c>
      <c r="BK7" s="74">
        <v>576</v>
      </c>
      <c r="BL7" s="74"/>
      <c r="BM7" s="74"/>
      <c r="BN7" s="74">
        <v>36</v>
      </c>
      <c r="BO7" s="74">
        <v>556</v>
      </c>
      <c r="BP7" s="74">
        <v>295</v>
      </c>
      <c r="BQ7" s="74">
        <v>708</v>
      </c>
      <c r="BR7" s="74">
        <v>530</v>
      </c>
      <c r="BS7" s="74"/>
      <c r="BT7" s="74"/>
      <c r="BU7" s="74"/>
      <c r="BV7" s="74"/>
      <c r="BW7" s="74">
        <v>1462</v>
      </c>
      <c r="BX7" s="74"/>
      <c r="BY7" s="74"/>
      <c r="BZ7" s="74"/>
      <c r="CA7" s="74"/>
      <c r="CB7" s="74">
        <v>32</v>
      </c>
      <c r="CC7" s="74">
        <v>654</v>
      </c>
      <c r="CD7" s="74">
        <v>900</v>
      </c>
      <c r="CE7" s="74"/>
      <c r="CF7" s="74"/>
      <c r="CG7" s="74"/>
      <c r="CH7" s="74"/>
      <c r="CI7" s="74"/>
      <c r="CJ7" s="74"/>
      <c r="CK7" s="74"/>
      <c r="CL7" s="74">
        <v>1017</v>
      </c>
      <c r="CM7" s="74"/>
      <c r="CN7" s="74"/>
      <c r="CO7" s="74"/>
      <c r="CP7" s="74"/>
      <c r="CQ7" s="74"/>
      <c r="CR7" s="74">
        <v>593</v>
      </c>
      <c r="CS7" s="74"/>
      <c r="CT7" s="74"/>
      <c r="CU7" s="74"/>
      <c r="CV7" s="74"/>
      <c r="CW7" s="74"/>
      <c r="CX7" s="74">
        <v>303</v>
      </c>
      <c r="CY7" s="74"/>
      <c r="CZ7" s="74"/>
      <c r="DA7" s="74"/>
      <c r="DB7" s="74"/>
      <c r="DC7" s="74"/>
      <c r="DD7" s="74"/>
      <c r="DE7" s="74"/>
      <c r="DF7" s="74">
        <v>981</v>
      </c>
      <c r="DG7" s="74"/>
      <c r="DH7" s="74"/>
      <c r="DI7" s="74"/>
      <c r="DJ7" s="74"/>
      <c r="DK7" s="74"/>
      <c r="DL7" s="74"/>
      <c r="DM7" s="74"/>
      <c r="DN7" s="74"/>
      <c r="DO7" s="74"/>
      <c r="DP7" s="74"/>
      <c r="DQ7" s="74"/>
      <c r="DR7" s="74"/>
      <c r="DS7" s="74"/>
      <c r="DT7" s="74"/>
      <c r="DU7" s="74"/>
      <c r="DV7" s="74"/>
      <c r="DW7" s="74"/>
      <c r="DX7" s="74"/>
      <c r="DY7" s="74"/>
      <c r="DZ7" s="74"/>
      <c r="EA7" s="74"/>
      <c r="EB7" s="74"/>
      <c r="EC7" s="74"/>
      <c r="ED7" s="74"/>
      <c r="EE7" s="74"/>
      <c r="EF7" s="74"/>
      <c r="EG7" s="74"/>
      <c r="EH7" s="74"/>
      <c r="EI7" s="74"/>
      <c r="EJ7" s="74"/>
      <c r="EK7" s="74"/>
      <c r="EL7" s="74"/>
      <c r="EM7" s="74"/>
      <c r="EN7" s="74"/>
      <c r="EO7" s="74"/>
      <c r="EP7" s="74"/>
      <c r="EQ7" s="74"/>
      <c r="ER7" s="74"/>
      <c r="ES7" s="74"/>
      <c r="ET7" s="74"/>
      <c r="EU7" s="74"/>
      <c r="EV7" s="74"/>
      <c r="EW7" s="74"/>
      <c r="EX7" s="74"/>
      <c r="EY7" s="74"/>
      <c r="EZ7" s="74"/>
      <c r="FA7" s="74"/>
      <c r="FB7" s="74"/>
      <c r="FC7" s="74"/>
      <c r="FD7" s="74"/>
      <c r="FE7" s="74"/>
      <c r="FF7" s="74"/>
      <c r="FG7" s="74"/>
      <c r="FH7" s="74"/>
      <c r="FI7" s="74"/>
      <c r="FJ7" s="74"/>
      <c r="FK7" s="74"/>
      <c r="FL7" s="74"/>
      <c r="FM7" s="74"/>
      <c r="FN7" s="74"/>
      <c r="FO7" s="74"/>
      <c r="FP7" s="74"/>
      <c r="FQ7" s="74"/>
      <c r="FR7" s="74"/>
      <c r="FS7" s="74"/>
      <c r="FT7" s="74"/>
      <c r="FU7" s="74"/>
      <c r="FV7" s="74"/>
      <c r="FW7" s="74"/>
      <c r="FX7" s="74"/>
      <c r="FY7" s="74"/>
      <c r="FZ7" s="74"/>
      <c r="GA7" s="74"/>
      <c r="GB7" s="74"/>
      <c r="GC7" s="74"/>
      <c r="GD7" s="74"/>
      <c r="GE7" s="74"/>
      <c r="GF7" s="74"/>
      <c r="GG7" s="74"/>
      <c r="GH7" s="74"/>
      <c r="GI7" s="74"/>
      <c r="GJ7" s="74"/>
      <c r="GK7" s="74"/>
      <c r="GL7" s="74"/>
      <c r="GM7" s="74"/>
      <c r="GN7" s="74"/>
      <c r="GO7" s="74"/>
      <c r="GP7" s="74"/>
      <c r="GQ7" s="74"/>
      <c r="GR7" s="74"/>
      <c r="GS7" s="74"/>
      <c r="GT7" s="74"/>
      <c r="GU7" s="74"/>
      <c r="GV7" s="74"/>
      <c r="GW7" s="74"/>
      <c r="GX7" s="74"/>
      <c r="GY7" s="74"/>
      <c r="GZ7" s="74"/>
      <c r="HA7" s="74"/>
      <c r="HB7" s="74"/>
      <c r="HC7" s="74"/>
      <c r="HD7" s="74"/>
      <c r="HE7" s="74"/>
      <c r="HF7" s="74"/>
      <c r="HG7" s="74"/>
      <c r="HH7" s="74"/>
      <c r="HI7" s="74"/>
      <c r="HJ7" s="74"/>
      <c r="HK7" s="74"/>
      <c r="HL7" s="74"/>
      <c r="HM7" s="74"/>
      <c r="HN7" s="74"/>
      <c r="HO7" s="74"/>
      <c r="HP7" s="74"/>
      <c r="HQ7" s="74"/>
      <c r="HR7" s="74"/>
      <c r="HS7" s="74"/>
      <c r="HT7" s="74"/>
      <c r="HU7" s="74"/>
      <c r="HV7" s="74"/>
      <c r="HW7" s="74"/>
      <c r="HX7" s="74"/>
      <c r="HY7" s="74"/>
      <c r="HZ7" s="74"/>
      <c r="IA7" s="74"/>
      <c r="IB7" s="74"/>
      <c r="IC7" s="74"/>
      <c r="ID7" s="74"/>
      <c r="IE7" s="74"/>
      <c r="IF7" s="74"/>
      <c r="IG7" s="74"/>
      <c r="IH7" s="74"/>
      <c r="II7" s="74"/>
      <c r="IJ7" s="74"/>
      <c r="IK7" s="74"/>
      <c r="IL7" s="74"/>
      <c r="IM7" s="74"/>
      <c r="IN7" s="74"/>
      <c r="IO7" s="74">
        <v>117</v>
      </c>
      <c r="IP7" s="74"/>
      <c r="IQ7" s="74"/>
      <c r="IR7" s="74"/>
      <c r="IS7" s="74"/>
      <c r="IT7" s="74"/>
      <c r="IU7" s="74"/>
      <c r="IV7" s="74"/>
      <c r="IW7" s="74"/>
      <c r="IX7" s="74"/>
      <c r="IY7" s="74"/>
      <c r="IZ7" s="74"/>
      <c r="JA7" s="74"/>
      <c r="JB7" s="74"/>
      <c r="JC7" s="74"/>
      <c r="JD7" s="74"/>
      <c r="JE7" s="74"/>
      <c r="JF7" s="74"/>
      <c r="JG7" s="74"/>
      <c r="JH7" s="74"/>
      <c r="JI7" s="74"/>
      <c r="JJ7" s="74"/>
      <c r="JK7" s="74"/>
      <c r="JL7" s="74"/>
      <c r="JM7" s="74"/>
      <c r="JN7" s="74"/>
      <c r="JO7" s="74"/>
      <c r="JP7" s="74"/>
      <c r="JQ7" s="74"/>
      <c r="JR7" s="74"/>
      <c r="JS7" s="74"/>
      <c r="JT7" s="74"/>
      <c r="JU7" s="74"/>
      <c r="JV7" s="74"/>
      <c r="JW7" s="74"/>
      <c r="JX7" s="74"/>
      <c r="JY7" s="74"/>
      <c r="JZ7" s="74"/>
      <c r="KA7" s="74"/>
      <c r="KB7" s="74"/>
      <c r="KC7" s="74"/>
      <c r="KD7" s="74"/>
      <c r="KE7" s="74"/>
      <c r="KF7" s="74"/>
      <c r="KG7" s="74"/>
      <c r="KH7" s="74"/>
      <c r="KI7" s="74"/>
      <c r="KJ7" s="74"/>
      <c r="KK7" s="74"/>
      <c r="KL7" s="74"/>
      <c r="KM7" s="74"/>
      <c r="KN7" s="74"/>
      <c r="KO7" s="74">
        <v>203</v>
      </c>
      <c r="KP7" s="74"/>
      <c r="KQ7" s="74"/>
      <c r="KR7" s="74"/>
      <c r="KS7" s="74">
        <v>186</v>
      </c>
      <c r="KT7" s="74"/>
      <c r="KU7" s="74"/>
      <c r="KV7" s="74"/>
      <c r="KW7" s="74"/>
      <c r="KX7" s="74"/>
      <c r="KY7" s="71"/>
      <c r="KZ7" s="74"/>
      <c r="LA7" s="74"/>
      <c r="LB7" s="74"/>
      <c r="LC7" s="74">
        <v>351</v>
      </c>
      <c r="LD7" s="74"/>
      <c r="LE7" s="74"/>
      <c r="LF7" s="74"/>
      <c r="LG7" s="74"/>
      <c r="LH7" s="74">
        <v>214</v>
      </c>
      <c r="LI7" s="74"/>
      <c r="LJ7" s="74"/>
      <c r="LK7" s="74"/>
      <c r="LL7" s="74"/>
      <c r="LM7" s="74"/>
      <c r="LN7" s="74"/>
      <c r="LO7" s="74"/>
      <c r="LP7" s="74"/>
      <c r="LQ7" s="74"/>
      <c r="LR7" s="74"/>
      <c r="LS7" s="74"/>
      <c r="LT7" s="74"/>
      <c r="LU7" s="74"/>
      <c r="LV7" s="74">
        <v>441</v>
      </c>
      <c r="LW7" s="74"/>
      <c r="LX7" s="74"/>
      <c r="LY7" s="74"/>
      <c r="LZ7" s="74"/>
      <c r="MA7" s="74"/>
      <c r="MB7" s="74"/>
      <c r="MC7" s="74">
        <v>248</v>
      </c>
      <c r="MD7" s="74"/>
      <c r="ME7" s="74"/>
      <c r="MF7" s="74"/>
      <c r="MG7" s="74"/>
      <c r="MH7" s="74">
        <v>0</v>
      </c>
      <c r="MI7" s="74"/>
      <c r="MJ7" s="74"/>
      <c r="MK7" s="74">
        <v>271</v>
      </c>
      <c r="ML7" s="74"/>
      <c r="MM7" s="74"/>
      <c r="MN7" s="74"/>
      <c r="MO7" s="74"/>
      <c r="MP7" s="74"/>
      <c r="MQ7" s="74">
        <v>205</v>
      </c>
      <c r="MR7" s="74"/>
      <c r="MS7" s="74"/>
      <c r="MT7" s="74"/>
      <c r="MU7" s="74"/>
      <c r="MV7" s="74"/>
      <c r="MW7" s="74"/>
      <c r="MX7" s="74">
        <v>186</v>
      </c>
      <c r="MY7" s="74"/>
      <c r="MZ7" s="74"/>
      <c r="NA7" s="74"/>
      <c r="NB7" s="74"/>
      <c r="NC7" s="74"/>
      <c r="ND7" s="74"/>
      <c r="NE7" s="74"/>
      <c r="NF7" s="74"/>
      <c r="NG7" s="74"/>
      <c r="NH7" s="74"/>
      <c r="NI7" s="74"/>
    </row>
    <row r="8" spans="1:1067" ht="16" thickBot="1" x14ac:dyDescent="0.25">
      <c r="A8" s="2"/>
      <c r="B8" s="75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76"/>
      <c r="DA8" s="76"/>
      <c r="DB8" s="76"/>
      <c r="DC8" s="76"/>
      <c r="DD8" s="76"/>
      <c r="DE8" s="76"/>
      <c r="DF8" s="76"/>
      <c r="DG8" s="76"/>
      <c r="DH8" s="76"/>
      <c r="DI8" s="76"/>
      <c r="DJ8" s="76"/>
      <c r="DK8" s="76"/>
      <c r="DL8" s="76"/>
      <c r="DM8" s="76"/>
      <c r="DN8" s="76"/>
      <c r="DO8" s="76"/>
      <c r="DP8" s="76"/>
      <c r="DQ8" s="76"/>
      <c r="DR8" s="76"/>
      <c r="DS8" s="76"/>
      <c r="DT8" s="76"/>
      <c r="DU8" s="76"/>
      <c r="DV8" s="76"/>
      <c r="DW8" s="76"/>
      <c r="DX8" s="76"/>
      <c r="DY8" s="76"/>
      <c r="DZ8" s="76"/>
      <c r="EA8" s="76"/>
      <c r="EB8" s="76"/>
      <c r="EC8" s="76"/>
      <c r="ED8" s="76"/>
      <c r="EE8" s="76"/>
      <c r="EF8" s="76"/>
      <c r="EG8" s="76"/>
      <c r="EH8" s="76"/>
      <c r="EI8" s="76"/>
      <c r="EJ8" s="76"/>
      <c r="EK8" s="76"/>
      <c r="EL8" s="76"/>
      <c r="EM8" s="76"/>
      <c r="EN8" s="76"/>
      <c r="EO8" s="76"/>
      <c r="EP8" s="76"/>
      <c r="EQ8" s="76"/>
      <c r="ER8" s="76"/>
      <c r="ES8" s="76"/>
      <c r="ET8" s="76"/>
      <c r="EU8" s="76"/>
      <c r="EV8" s="76"/>
      <c r="EW8" s="76"/>
      <c r="EX8" s="76"/>
      <c r="EY8" s="76"/>
      <c r="EZ8" s="76"/>
      <c r="FA8" s="76"/>
      <c r="FB8" s="76"/>
      <c r="FC8" s="76"/>
      <c r="FD8" s="76"/>
      <c r="FE8" s="76"/>
      <c r="FF8" s="76"/>
      <c r="FG8" s="76"/>
      <c r="FH8" s="76"/>
      <c r="FI8" s="76"/>
      <c r="FJ8" s="76"/>
      <c r="FK8" s="76"/>
      <c r="FL8" s="76"/>
      <c r="FM8" s="76"/>
      <c r="FN8" s="76"/>
      <c r="FO8" s="76"/>
      <c r="FP8" s="76"/>
      <c r="FQ8" s="76"/>
      <c r="FR8" s="76"/>
      <c r="FS8" s="76"/>
      <c r="FT8" s="76"/>
      <c r="FU8" s="76"/>
      <c r="FV8" s="76"/>
      <c r="FW8" s="76"/>
      <c r="FX8" s="76"/>
      <c r="FY8" s="76"/>
      <c r="FZ8" s="76"/>
      <c r="GA8" s="76"/>
      <c r="GB8" s="76"/>
      <c r="GC8" s="76"/>
      <c r="GD8" s="76"/>
      <c r="GE8" s="76"/>
      <c r="GF8" s="76"/>
      <c r="GG8" s="76"/>
      <c r="GH8" s="76"/>
      <c r="GI8" s="76"/>
      <c r="GJ8" s="76"/>
      <c r="GK8" s="76"/>
      <c r="GL8" s="76"/>
      <c r="GM8" s="76"/>
      <c r="GN8" s="76"/>
      <c r="GO8" s="76"/>
      <c r="GP8" s="76"/>
      <c r="GQ8" s="76"/>
      <c r="GR8" s="76"/>
      <c r="GS8" s="76"/>
      <c r="GT8" s="76"/>
      <c r="GU8" s="76"/>
      <c r="GV8" s="76"/>
      <c r="GW8" s="76"/>
      <c r="GX8" s="76"/>
      <c r="GY8" s="76"/>
      <c r="GZ8" s="76"/>
      <c r="HA8" s="76"/>
      <c r="HB8" s="76"/>
      <c r="HC8" s="76"/>
      <c r="HD8" s="76"/>
      <c r="HE8" s="76"/>
      <c r="HF8" s="76"/>
      <c r="HG8" s="76"/>
      <c r="HH8" s="76"/>
      <c r="HI8" s="76"/>
      <c r="HJ8" s="76"/>
      <c r="HK8" s="76"/>
      <c r="HL8" s="76"/>
      <c r="HM8" s="76"/>
      <c r="HN8" s="76"/>
      <c r="HO8" s="76"/>
      <c r="HP8" s="76"/>
      <c r="HQ8" s="76"/>
      <c r="HR8" s="76"/>
      <c r="HS8" s="76"/>
      <c r="HT8" s="76"/>
      <c r="HU8" s="76"/>
      <c r="HV8" s="76"/>
      <c r="HW8" s="76"/>
      <c r="HX8" s="76"/>
      <c r="HY8" s="76"/>
      <c r="HZ8" s="76"/>
      <c r="IA8" s="76"/>
      <c r="IB8" s="76"/>
      <c r="IC8" s="76"/>
      <c r="ID8" s="76"/>
      <c r="IE8" s="76"/>
      <c r="IF8" s="76"/>
      <c r="IG8" s="76"/>
      <c r="IH8" s="76"/>
      <c r="II8" s="76"/>
      <c r="IJ8" s="76"/>
      <c r="IK8" s="76"/>
      <c r="IL8" s="76"/>
      <c r="IM8" s="76"/>
      <c r="IN8" s="76"/>
      <c r="IO8" s="76"/>
      <c r="IP8" s="76"/>
      <c r="IQ8" s="76"/>
      <c r="IR8" s="76"/>
      <c r="IS8" s="76"/>
      <c r="IT8" s="76"/>
      <c r="IU8" s="76"/>
      <c r="IV8" s="76"/>
      <c r="IW8" s="76"/>
      <c r="IX8" s="76"/>
      <c r="IY8" s="76"/>
      <c r="IZ8" s="76"/>
      <c r="JA8" s="76"/>
      <c r="JB8" s="76"/>
      <c r="JC8" s="76"/>
      <c r="JD8" s="76"/>
      <c r="JE8" s="76"/>
      <c r="JF8" s="76"/>
      <c r="JG8" s="76"/>
      <c r="JH8" s="76"/>
      <c r="JI8" s="76"/>
      <c r="JJ8" s="76"/>
      <c r="JK8" s="76"/>
      <c r="JL8" s="76"/>
      <c r="JM8" s="76"/>
      <c r="JN8" s="76"/>
      <c r="JO8" s="76"/>
      <c r="JP8" s="76"/>
      <c r="JQ8" s="76"/>
      <c r="JR8" s="76"/>
      <c r="JS8" s="76"/>
      <c r="JT8" s="76"/>
      <c r="JU8" s="76"/>
      <c r="JV8" s="76"/>
      <c r="JW8" s="76"/>
      <c r="JX8" s="76"/>
      <c r="JY8" s="76"/>
      <c r="JZ8" s="76"/>
      <c r="KA8" s="76"/>
      <c r="KB8" s="76"/>
      <c r="KC8" s="76"/>
      <c r="KD8" s="76"/>
      <c r="KE8" s="76"/>
      <c r="KF8" s="76"/>
      <c r="KG8" s="76"/>
      <c r="KH8" s="76"/>
      <c r="KI8" s="76"/>
      <c r="KJ8" s="76"/>
      <c r="KK8" s="76"/>
      <c r="KL8" s="76"/>
      <c r="KM8" s="76"/>
      <c r="KN8" s="76"/>
      <c r="KO8" s="76"/>
      <c r="KP8" s="76"/>
      <c r="KQ8" s="76"/>
      <c r="KR8" s="76"/>
      <c r="KS8" s="76"/>
      <c r="KT8" s="76"/>
      <c r="KU8" s="76"/>
      <c r="KV8" s="76"/>
      <c r="KW8" s="76"/>
      <c r="KX8" s="76"/>
      <c r="KY8" s="76"/>
      <c r="KZ8" s="76"/>
      <c r="LA8" s="76"/>
      <c r="LB8" s="76"/>
      <c r="LC8" s="76"/>
      <c r="LD8" s="76"/>
      <c r="LE8" s="76"/>
      <c r="LF8" s="76"/>
      <c r="LG8" s="76"/>
      <c r="LH8" s="76"/>
      <c r="LI8" s="76"/>
      <c r="LJ8" s="76"/>
      <c r="LK8" s="76"/>
      <c r="LL8" s="76"/>
      <c r="LM8" s="76"/>
      <c r="LN8" s="76"/>
      <c r="LO8" s="76"/>
      <c r="LP8" s="76"/>
      <c r="LQ8" s="76"/>
      <c r="LR8" s="76"/>
      <c r="LS8" s="76"/>
      <c r="LT8" s="76"/>
      <c r="LU8" s="76"/>
      <c r="LV8" s="76"/>
      <c r="LW8" s="76"/>
      <c r="LX8" s="76"/>
      <c r="LY8" s="76"/>
      <c r="LZ8" s="76"/>
      <c r="MA8" s="76"/>
      <c r="MB8" s="76"/>
      <c r="MC8" s="76"/>
      <c r="MD8" s="76"/>
      <c r="ME8" s="76"/>
      <c r="MF8" s="76"/>
      <c r="MG8" s="76"/>
      <c r="MH8" s="76"/>
      <c r="MI8" s="76"/>
      <c r="MJ8" s="76"/>
      <c r="MK8" s="76"/>
      <c r="ML8" s="76"/>
      <c r="MM8" s="76"/>
      <c r="MN8" s="76"/>
      <c r="MO8" s="76"/>
      <c r="MP8" s="76"/>
      <c r="MQ8" s="76"/>
      <c r="MR8" s="76"/>
      <c r="MS8" s="76"/>
      <c r="MT8" s="76"/>
      <c r="MU8" s="76"/>
      <c r="MV8" s="76"/>
      <c r="MW8" s="76"/>
      <c r="MX8" s="76"/>
      <c r="MY8" s="76"/>
      <c r="MZ8" s="76"/>
      <c r="NA8" s="76"/>
      <c r="NB8" s="76"/>
      <c r="NC8" s="76"/>
      <c r="ND8" s="76"/>
      <c r="NE8" s="76"/>
      <c r="NF8" s="76"/>
      <c r="NG8" s="76"/>
      <c r="NH8" s="76"/>
      <c r="NI8" s="76"/>
    </row>
    <row r="9" spans="1:1067" x14ac:dyDescent="0.2">
      <c r="A9" s="20" t="s">
        <v>6</v>
      </c>
      <c r="B9" s="77"/>
      <c r="C9" s="78">
        <v>400</v>
      </c>
      <c r="D9" s="78">
        <v>100</v>
      </c>
      <c r="E9" s="78">
        <v>110</v>
      </c>
      <c r="F9" s="78"/>
      <c r="G9" s="78"/>
      <c r="H9" s="78"/>
      <c r="I9" s="78"/>
      <c r="J9" s="78">
        <v>270</v>
      </c>
      <c r="K9" s="78"/>
      <c r="L9" s="78">
        <v>280</v>
      </c>
      <c r="M9" s="78">
        <v>80</v>
      </c>
      <c r="N9" s="78">
        <v>100</v>
      </c>
      <c r="O9" s="78"/>
      <c r="P9" s="78"/>
      <c r="Q9" s="78">
        <v>400</v>
      </c>
      <c r="R9" s="78"/>
      <c r="S9" s="78"/>
      <c r="T9" s="78">
        <v>330</v>
      </c>
      <c r="U9" s="78">
        <v>100</v>
      </c>
      <c r="V9" s="78"/>
      <c r="W9" s="78"/>
      <c r="X9" s="78">
        <v>450</v>
      </c>
      <c r="Y9" s="78"/>
      <c r="Z9" s="78"/>
      <c r="AA9" s="78">
        <v>480</v>
      </c>
      <c r="AB9" s="78">
        <v>238</v>
      </c>
      <c r="AC9" s="78"/>
      <c r="AD9" s="78"/>
      <c r="AE9" s="78"/>
      <c r="AF9" s="78"/>
      <c r="AG9" s="78">
        <v>400</v>
      </c>
      <c r="AH9" s="78"/>
      <c r="AI9" s="78">
        <v>410</v>
      </c>
      <c r="AJ9" s="78"/>
      <c r="AK9" s="78"/>
      <c r="AL9" s="78"/>
      <c r="AM9" s="78">
        <v>60</v>
      </c>
      <c r="AN9" s="78">
        <v>60</v>
      </c>
      <c r="AO9" s="78">
        <v>400</v>
      </c>
      <c r="AP9" s="78">
        <v>100</v>
      </c>
      <c r="AQ9" s="78"/>
      <c r="AR9" s="78"/>
      <c r="AS9" s="78">
        <v>400</v>
      </c>
      <c r="AT9" s="78">
        <v>450</v>
      </c>
      <c r="AU9" s="78">
        <v>200</v>
      </c>
      <c r="AV9" s="78">
        <v>160</v>
      </c>
      <c r="AW9" s="78">
        <v>260</v>
      </c>
      <c r="AX9" s="78">
        <v>300</v>
      </c>
      <c r="AY9" s="78"/>
      <c r="AZ9" s="78">
        <v>400</v>
      </c>
      <c r="BA9" s="78"/>
      <c r="BB9" s="78">
        <v>120</v>
      </c>
      <c r="BC9" s="78">
        <v>500</v>
      </c>
      <c r="BD9" s="78">
        <v>240</v>
      </c>
      <c r="BE9" s="78"/>
      <c r="BF9" s="78"/>
      <c r="BG9" s="78">
        <v>250</v>
      </c>
      <c r="BH9" s="78">
        <v>400</v>
      </c>
      <c r="BI9" s="78">
        <v>400</v>
      </c>
      <c r="BJ9" s="78">
        <v>400</v>
      </c>
      <c r="BK9" s="78">
        <v>300</v>
      </c>
      <c r="BL9" s="78"/>
      <c r="BM9" s="78"/>
      <c r="BN9" s="78">
        <v>400</v>
      </c>
      <c r="BO9" s="78">
        <v>350</v>
      </c>
      <c r="BP9" s="78">
        <v>350</v>
      </c>
      <c r="BQ9" s="78">
        <v>500</v>
      </c>
      <c r="BR9" s="78"/>
      <c r="BS9" s="78"/>
      <c r="BT9" s="78"/>
      <c r="BU9" s="78"/>
      <c r="BV9" s="78">
        <v>300</v>
      </c>
      <c r="BW9" s="78"/>
      <c r="BX9" s="78"/>
      <c r="BY9" s="78">
        <v>100</v>
      </c>
      <c r="BZ9" s="78"/>
      <c r="CA9" s="78"/>
      <c r="CB9" s="78">
        <v>500</v>
      </c>
      <c r="CC9" s="78"/>
      <c r="CD9" s="78"/>
      <c r="CE9" s="78">
        <v>500</v>
      </c>
      <c r="CF9" s="78">
        <v>400</v>
      </c>
      <c r="CG9" s="78"/>
      <c r="CH9" s="78"/>
      <c r="CI9" s="78"/>
      <c r="CJ9" s="78"/>
      <c r="CK9" s="78"/>
      <c r="CL9" s="78"/>
      <c r="CM9" s="78">
        <v>400</v>
      </c>
      <c r="CN9" s="78"/>
      <c r="CO9" s="78"/>
      <c r="CP9" s="78">
        <v>40</v>
      </c>
      <c r="CQ9" s="78"/>
      <c r="CR9" s="78"/>
      <c r="CS9" s="78">
        <v>240</v>
      </c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>
        <v>380</v>
      </c>
      <c r="DH9" s="78">
        <v>150</v>
      </c>
      <c r="DI9" s="78"/>
      <c r="DJ9" s="78"/>
      <c r="DK9" s="78">
        <v>250</v>
      </c>
      <c r="DL9" s="78"/>
      <c r="DM9" s="78"/>
      <c r="DN9" s="78"/>
      <c r="DO9" s="78">
        <v>210</v>
      </c>
      <c r="DP9" s="78"/>
      <c r="DQ9" s="78"/>
      <c r="DR9" s="78"/>
      <c r="DS9" s="78"/>
      <c r="DT9" s="78"/>
      <c r="DU9" s="78"/>
      <c r="DV9" s="78"/>
      <c r="DW9" s="78"/>
      <c r="DX9" s="78"/>
      <c r="DY9" s="78">
        <v>300</v>
      </c>
      <c r="DZ9" s="78"/>
      <c r="EA9" s="78"/>
      <c r="EB9" s="78"/>
      <c r="EC9" s="78"/>
      <c r="ED9" s="78"/>
      <c r="EE9" s="78"/>
      <c r="EF9" s="78">
        <v>270</v>
      </c>
      <c r="EG9" s="78"/>
      <c r="EH9" s="78"/>
      <c r="EI9" s="78">
        <v>250</v>
      </c>
      <c r="EJ9" s="78"/>
      <c r="EK9" s="78"/>
      <c r="EL9" s="78"/>
      <c r="EM9" s="78">
        <v>200</v>
      </c>
      <c r="EN9" s="78"/>
      <c r="EO9" s="78">
        <v>300</v>
      </c>
      <c r="EP9" s="78"/>
      <c r="EQ9" s="78"/>
      <c r="ER9" s="78"/>
      <c r="ES9" s="78"/>
      <c r="ET9" s="78">
        <v>300</v>
      </c>
      <c r="EU9" s="78">
        <v>80</v>
      </c>
      <c r="EV9" s="78">
        <v>150</v>
      </c>
      <c r="EW9" s="78">
        <v>230</v>
      </c>
      <c r="EX9" s="78"/>
      <c r="EY9" s="78"/>
      <c r="EZ9" s="78"/>
      <c r="FA9" s="78"/>
      <c r="FB9" s="78"/>
      <c r="FC9" s="78">
        <v>80</v>
      </c>
      <c r="FD9" s="78"/>
      <c r="FE9" s="78"/>
      <c r="FF9" s="78"/>
      <c r="FG9" s="78"/>
      <c r="FH9" s="78">
        <v>300</v>
      </c>
      <c r="FI9" s="78"/>
      <c r="FJ9" s="78"/>
      <c r="FK9" s="78"/>
      <c r="FL9" s="78"/>
      <c r="FM9" s="78"/>
      <c r="FN9" s="78"/>
      <c r="FO9" s="78">
        <v>400</v>
      </c>
      <c r="FP9" s="78"/>
      <c r="FQ9" s="78"/>
      <c r="FR9" s="78"/>
      <c r="FS9" s="78"/>
      <c r="FT9" s="78"/>
      <c r="FU9" s="78"/>
      <c r="FV9" s="78"/>
      <c r="FW9" s="78">
        <v>338</v>
      </c>
      <c r="FX9" s="78"/>
      <c r="FY9" s="78"/>
      <c r="FZ9" s="78"/>
      <c r="GA9" s="78"/>
      <c r="GB9" s="78"/>
      <c r="GC9" s="78"/>
      <c r="GD9" s="78">
        <v>300</v>
      </c>
      <c r="GE9" s="78"/>
      <c r="GF9" s="78"/>
      <c r="GG9" s="78"/>
      <c r="GH9" s="78"/>
      <c r="GI9" s="78"/>
      <c r="GJ9" s="78"/>
      <c r="GK9" s="78"/>
      <c r="GL9" s="78">
        <v>500</v>
      </c>
      <c r="GM9" s="78"/>
      <c r="GN9" s="78">
        <v>300</v>
      </c>
      <c r="GO9" s="78"/>
      <c r="GP9" s="78"/>
      <c r="GQ9" s="78"/>
      <c r="GR9" s="78">
        <v>70</v>
      </c>
      <c r="GS9" s="78">
        <v>550</v>
      </c>
      <c r="GT9" s="78">
        <v>80</v>
      </c>
      <c r="GU9" s="78"/>
      <c r="GV9" s="78"/>
      <c r="GW9" s="78"/>
      <c r="GX9" s="78">
        <v>80</v>
      </c>
      <c r="GY9" s="78">
        <v>200</v>
      </c>
      <c r="GZ9" s="78">
        <v>300</v>
      </c>
      <c r="HA9" s="78"/>
      <c r="HB9" s="78">
        <v>40</v>
      </c>
      <c r="HC9" s="78"/>
      <c r="HD9" s="78"/>
      <c r="HE9" s="78">
        <v>220</v>
      </c>
      <c r="HF9" s="78"/>
      <c r="HG9" s="78"/>
      <c r="HH9" s="78">
        <v>70</v>
      </c>
      <c r="HI9" s="78"/>
      <c r="HJ9" s="78"/>
      <c r="HK9" s="78"/>
      <c r="HL9" s="78">
        <v>130</v>
      </c>
      <c r="HM9" s="78"/>
      <c r="HN9" s="78">
        <v>155</v>
      </c>
      <c r="HO9" s="78">
        <v>100</v>
      </c>
      <c r="HP9" s="78">
        <v>150</v>
      </c>
      <c r="HQ9" s="78"/>
      <c r="HR9" s="78"/>
      <c r="HS9" s="78">
        <v>40</v>
      </c>
      <c r="HT9" s="78"/>
      <c r="HU9" s="78"/>
      <c r="HV9" s="78">
        <v>120</v>
      </c>
      <c r="HW9" s="78">
        <v>250</v>
      </c>
      <c r="HX9" s="78"/>
      <c r="HY9" s="78"/>
      <c r="HZ9" s="78">
        <v>260</v>
      </c>
      <c r="IA9" s="78">
        <v>347</v>
      </c>
      <c r="IB9" s="78">
        <v>259</v>
      </c>
      <c r="IC9" s="78"/>
      <c r="ID9" s="78">
        <v>261</v>
      </c>
      <c r="IE9" s="78"/>
      <c r="IF9" s="78"/>
      <c r="IG9" s="78"/>
      <c r="IH9" s="78">
        <v>400</v>
      </c>
      <c r="II9" s="78"/>
      <c r="IJ9" s="78"/>
      <c r="IK9" s="78">
        <v>200</v>
      </c>
      <c r="IL9" s="78"/>
      <c r="IM9" s="78"/>
      <c r="IN9" s="78">
        <v>20</v>
      </c>
      <c r="IO9" s="78">
        <v>20</v>
      </c>
      <c r="IP9" s="78"/>
      <c r="IQ9" s="78">
        <v>174</v>
      </c>
      <c r="IR9" s="78"/>
      <c r="IS9" s="78"/>
      <c r="IT9" s="78"/>
      <c r="IU9" s="78">
        <v>300</v>
      </c>
      <c r="IV9" s="78">
        <v>278</v>
      </c>
      <c r="IW9" s="78">
        <v>298</v>
      </c>
      <c r="IX9" s="78">
        <v>40</v>
      </c>
      <c r="IY9" s="78"/>
      <c r="IZ9" s="78"/>
      <c r="JA9" s="78"/>
      <c r="JB9" s="78">
        <v>400</v>
      </c>
      <c r="JC9" s="78">
        <v>350</v>
      </c>
      <c r="JD9" s="78"/>
      <c r="JE9" s="78"/>
      <c r="JF9" s="78"/>
      <c r="JG9" s="78"/>
      <c r="JH9" s="78"/>
      <c r="JI9" s="78"/>
      <c r="JJ9" s="78"/>
      <c r="JK9" s="78"/>
      <c r="JL9" s="78">
        <v>400</v>
      </c>
      <c r="JM9" s="78"/>
      <c r="JN9" s="78"/>
      <c r="JO9" s="78"/>
      <c r="JP9" s="78">
        <v>450</v>
      </c>
      <c r="JQ9" s="78">
        <v>400</v>
      </c>
      <c r="JR9" s="78"/>
      <c r="JS9" s="78">
        <v>403</v>
      </c>
      <c r="JT9" s="78"/>
      <c r="JU9" s="78"/>
      <c r="JV9" s="78"/>
      <c r="JW9" s="78"/>
      <c r="JX9" s="78">
        <v>184</v>
      </c>
      <c r="JY9" s="78">
        <v>400</v>
      </c>
      <c r="JZ9" s="78"/>
      <c r="KA9" s="78">
        <v>200</v>
      </c>
      <c r="KB9" s="78"/>
      <c r="KC9" s="78"/>
      <c r="KD9" s="78"/>
      <c r="KE9" s="78">
        <v>0</v>
      </c>
      <c r="KF9" s="78">
        <v>200</v>
      </c>
      <c r="KG9" s="78">
        <v>120</v>
      </c>
      <c r="KH9" s="78"/>
      <c r="KI9" s="78"/>
      <c r="KJ9" s="78"/>
      <c r="KK9" s="78"/>
      <c r="KL9" s="78">
        <v>420</v>
      </c>
      <c r="KM9" s="78">
        <v>360</v>
      </c>
      <c r="KN9" s="78"/>
      <c r="KO9" s="78">
        <v>280</v>
      </c>
      <c r="KP9" s="78"/>
      <c r="KQ9" s="78"/>
      <c r="KR9" s="78"/>
      <c r="KS9" s="78">
        <v>287</v>
      </c>
      <c r="KT9" s="78"/>
      <c r="KU9" s="78">
        <v>215</v>
      </c>
      <c r="KV9" s="78">
        <v>80</v>
      </c>
      <c r="KW9" s="78"/>
      <c r="KX9" s="78"/>
      <c r="KY9" s="78"/>
      <c r="KZ9" s="78">
        <v>300</v>
      </c>
      <c r="LA9" s="78"/>
      <c r="LB9" s="78"/>
      <c r="LC9" s="78"/>
      <c r="LD9" s="78"/>
      <c r="LE9" s="78"/>
      <c r="LF9" s="78">
        <v>300</v>
      </c>
      <c r="LG9" s="78"/>
      <c r="LH9" s="78">
        <v>80</v>
      </c>
      <c r="LI9" s="78"/>
      <c r="LJ9" s="78">
        <v>80</v>
      </c>
      <c r="LK9" s="78"/>
      <c r="LL9" s="78"/>
      <c r="LM9" s="78">
        <v>650</v>
      </c>
      <c r="LN9" s="78">
        <v>220</v>
      </c>
      <c r="LO9" s="78">
        <v>286</v>
      </c>
      <c r="LP9" s="78">
        <v>220</v>
      </c>
      <c r="LQ9" s="78"/>
      <c r="LR9" s="78"/>
      <c r="LS9" s="78"/>
      <c r="LT9" s="78"/>
      <c r="LU9" s="78">
        <v>322</v>
      </c>
      <c r="LV9" s="78"/>
      <c r="LW9" s="78">
        <v>320</v>
      </c>
      <c r="LX9" s="78">
        <v>170</v>
      </c>
      <c r="LY9" s="78"/>
      <c r="LZ9" s="78"/>
      <c r="MA9" s="78">
        <v>215</v>
      </c>
      <c r="MB9" s="78"/>
      <c r="MC9" s="78">
        <v>213</v>
      </c>
      <c r="MD9" s="78"/>
      <c r="ME9" s="78"/>
      <c r="MF9" s="78"/>
      <c r="MG9" s="78"/>
      <c r="MH9" s="78">
        <v>420</v>
      </c>
      <c r="MI9" s="78">
        <v>135</v>
      </c>
      <c r="MJ9" s="78"/>
      <c r="MK9" s="78"/>
      <c r="ML9" s="78">
        <v>215</v>
      </c>
      <c r="MM9" s="78"/>
      <c r="MN9" s="78"/>
      <c r="MO9" s="78">
        <v>230</v>
      </c>
      <c r="MP9" s="78">
        <v>230</v>
      </c>
      <c r="MQ9" s="78">
        <v>185</v>
      </c>
      <c r="MR9" s="78"/>
      <c r="MS9" s="78">
        <v>410</v>
      </c>
      <c r="MT9" s="78"/>
      <c r="MU9" s="78"/>
      <c r="MV9" s="78">
        <v>160</v>
      </c>
      <c r="MW9" s="78">
        <v>160</v>
      </c>
      <c r="MX9" s="78">
        <v>340</v>
      </c>
      <c r="MY9" s="78">
        <v>204</v>
      </c>
      <c r="MZ9" s="78"/>
      <c r="NA9" s="78"/>
      <c r="NB9" s="78"/>
      <c r="NC9" s="78">
        <v>340</v>
      </c>
      <c r="ND9" s="78">
        <v>88</v>
      </c>
      <c r="NE9" s="78"/>
      <c r="NF9" s="78">
        <v>110</v>
      </c>
      <c r="NG9" s="78"/>
      <c r="NH9" s="78"/>
      <c r="NI9" s="78"/>
    </row>
    <row r="10" spans="1:1067" x14ac:dyDescent="0.2">
      <c r="A10" s="21" t="s">
        <v>7</v>
      </c>
      <c r="B10" s="79"/>
      <c r="C10" s="80"/>
      <c r="D10" s="80">
        <v>70</v>
      </c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>
        <v>40</v>
      </c>
      <c r="AN10" s="80">
        <v>40</v>
      </c>
      <c r="AO10" s="80"/>
      <c r="AP10" s="80">
        <v>55</v>
      </c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I10" s="80"/>
      <c r="CJ10" s="80"/>
      <c r="CK10" s="80"/>
      <c r="CL10" s="80"/>
      <c r="CM10" s="80"/>
      <c r="CN10" s="80"/>
      <c r="CO10" s="80"/>
      <c r="CP10" s="80"/>
      <c r="CQ10" s="80"/>
      <c r="CR10" s="80"/>
      <c r="CS10" s="80"/>
      <c r="CT10" s="80"/>
      <c r="CU10" s="80"/>
      <c r="CV10" s="80"/>
      <c r="CW10" s="80"/>
      <c r="CX10" s="80"/>
      <c r="CY10" s="80"/>
      <c r="CZ10" s="80"/>
      <c r="DA10" s="80"/>
      <c r="DB10" s="80"/>
      <c r="DC10" s="80"/>
      <c r="DD10" s="80"/>
      <c r="DE10" s="80"/>
      <c r="DF10" s="80"/>
      <c r="DG10" s="80"/>
      <c r="DH10" s="80"/>
      <c r="DI10" s="80"/>
      <c r="DJ10" s="80"/>
      <c r="DK10" s="80"/>
      <c r="DL10" s="80"/>
      <c r="DM10" s="80"/>
      <c r="DN10" s="80"/>
      <c r="DO10" s="80"/>
      <c r="DP10" s="80"/>
      <c r="DQ10" s="80"/>
      <c r="DR10" s="80"/>
      <c r="DS10" s="80"/>
      <c r="DT10" s="80"/>
      <c r="DU10" s="80"/>
      <c r="DV10" s="80"/>
      <c r="DW10" s="80"/>
      <c r="DX10" s="80"/>
      <c r="DY10" s="80"/>
      <c r="DZ10" s="80"/>
      <c r="EA10" s="80"/>
      <c r="EB10" s="80"/>
      <c r="EC10" s="80"/>
      <c r="ED10" s="80"/>
      <c r="EE10" s="80"/>
      <c r="EF10" s="80"/>
      <c r="EG10" s="80"/>
      <c r="EH10" s="80"/>
      <c r="EI10" s="80"/>
      <c r="EJ10" s="80">
        <v>40</v>
      </c>
      <c r="EK10" s="80"/>
      <c r="EL10" s="80"/>
      <c r="EM10" s="80"/>
      <c r="EN10" s="80"/>
      <c r="EO10" s="80"/>
      <c r="EP10" s="80"/>
      <c r="EQ10" s="80"/>
      <c r="ER10" s="80"/>
      <c r="ES10" s="80"/>
      <c r="ET10" s="80"/>
      <c r="EU10" s="80"/>
      <c r="EV10" s="80"/>
      <c r="EW10" s="80"/>
      <c r="EX10" s="80"/>
      <c r="EY10" s="80"/>
      <c r="EZ10" s="80"/>
      <c r="FA10" s="80"/>
      <c r="FB10" s="80"/>
      <c r="FC10" s="80"/>
      <c r="FD10" s="80"/>
      <c r="FE10" s="80"/>
      <c r="FF10" s="80"/>
      <c r="FG10" s="80"/>
      <c r="FH10" s="80"/>
      <c r="FI10" s="80"/>
      <c r="FJ10" s="80"/>
      <c r="FK10" s="80"/>
      <c r="FL10" s="80"/>
      <c r="FM10" s="80"/>
      <c r="FN10" s="80"/>
      <c r="FO10" s="80"/>
      <c r="FP10" s="80"/>
      <c r="FQ10" s="80"/>
      <c r="FR10" s="80"/>
      <c r="FS10" s="80"/>
      <c r="FT10" s="80"/>
      <c r="FU10" s="80"/>
      <c r="FV10" s="80"/>
      <c r="FW10" s="80"/>
      <c r="FX10" s="80"/>
      <c r="FY10" s="80"/>
      <c r="FZ10" s="80"/>
      <c r="GA10" s="80"/>
      <c r="GB10" s="80"/>
      <c r="GC10" s="80"/>
      <c r="GD10" s="80"/>
      <c r="GE10" s="80"/>
      <c r="GF10" s="80"/>
      <c r="GG10" s="80"/>
      <c r="GH10" s="80"/>
      <c r="GI10" s="80"/>
      <c r="GJ10" s="80"/>
      <c r="GK10" s="80"/>
      <c r="GL10" s="80"/>
      <c r="GM10" s="80"/>
      <c r="GN10" s="80"/>
      <c r="GO10" s="80"/>
      <c r="GP10" s="80"/>
      <c r="GQ10" s="80">
        <v>120</v>
      </c>
      <c r="GR10" s="80">
        <v>20</v>
      </c>
      <c r="GS10" s="80"/>
      <c r="GT10" s="80"/>
      <c r="GU10" s="80"/>
      <c r="GV10" s="80"/>
      <c r="GW10" s="80"/>
      <c r="GX10" s="80">
        <v>50</v>
      </c>
      <c r="GY10" s="80"/>
      <c r="GZ10" s="80"/>
      <c r="HA10" s="80"/>
      <c r="HB10" s="80">
        <v>63</v>
      </c>
      <c r="HC10" s="80"/>
      <c r="HD10" s="80"/>
      <c r="HE10" s="80"/>
      <c r="HF10" s="80">
        <v>80</v>
      </c>
      <c r="HG10" s="80"/>
      <c r="HH10" s="80">
        <v>80</v>
      </c>
      <c r="HI10" s="80"/>
      <c r="HJ10" s="80"/>
      <c r="HK10" s="80"/>
      <c r="HL10" s="80">
        <v>125</v>
      </c>
      <c r="HM10" s="80"/>
      <c r="HN10" s="80"/>
      <c r="HO10" s="80"/>
      <c r="HP10" s="80"/>
      <c r="HQ10" s="80"/>
      <c r="HR10" s="80"/>
      <c r="HS10" s="80">
        <v>60</v>
      </c>
      <c r="HT10" s="80"/>
      <c r="HU10" s="80"/>
      <c r="HV10" s="80"/>
      <c r="HW10" s="80"/>
      <c r="HX10" s="80"/>
      <c r="HY10" s="80"/>
      <c r="HZ10" s="80">
        <v>77</v>
      </c>
      <c r="IA10" s="80"/>
      <c r="IB10" s="80"/>
      <c r="IC10" s="80"/>
      <c r="ID10" s="80">
        <v>30</v>
      </c>
      <c r="IE10" s="80"/>
      <c r="IF10" s="80"/>
      <c r="IG10" s="80"/>
      <c r="IH10" s="80"/>
      <c r="II10" s="80"/>
      <c r="IJ10" s="80">
        <v>200</v>
      </c>
      <c r="IK10" s="80"/>
      <c r="IL10" s="80"/>
      <c r="IM10" s="80"/>
      <c r="IN10" s="80">
        <v>73</v>
      </c>
      <c r="IO10" s="80">
        <v>112</v>
      </c>
      <c r="IP10" s="80">
        <v>230</v>
      </c>
      <c r="IQ10" s="80"/>
      <c r="IR10" s="80"/>
      <c r="IS10" s="80"/>
      <c r="IT10" s="80"/>
      <c r="IU10" s="80"/>
      <c r="IV10" s="80">
        <v>100</v>
      </c>
      <c r="IW10" s="80"/>
      <c r="IX10" s="80"/>
      <c r="IY10" s="80"/>
      <c r="IZ10" s="80"/>
      <c r="JA10" s="80"/>
      <c r="JB10" s="80">
        <v>40</v>
      </c>
      <c r="JC10" s="80">
        <v>50</v>
      </c>
      <c r="JD10" s="80"/>
      <c r="JE10" s="80"/>
      <c r="JF10" s="80"/>
      <c r="JG10" s="80"/>
      <c r="JH10" s="80"/>
      <c r="JI10" s="80"/>
      <c r="JJ10" s="80">
        <v>150</v>
      </c>
      <c r="JK10" s="80">
        <v>0</v>
      </c>
      <c r="JL10" s="80">
        <v>35</v>
      </c>
      <c r="JM10" s="80"/>
      <c r="JN10" s="80"/>
      <c r="JO10" s="80"/>
      <c r="JP10" s="80"/>
      <c r="JQ10" s="80"/>
      <c r="JR10" s="80"/>
      <c r="JS10" s="80"/>
      <c r="JT10" s="80"/>
      <c r="JU10" s="80"/>
      <c r="JV10" s="80"/>
      <c r="JW10" s="80">
        <v>200</v>
      </c>
      <c r="JX10" s="80">
        <v>50</v>
      </c>
      <c r="JY10" s="80"/>
      <c r="JZ10" s="80"/>
      <c r="KA10" s="80"/>
      <c r="KB10" s="80"/>
      <c r="KC10" s="80"/>
      <c r="KD10" s="80"/>
      <c r="KE10" s="80">
        <v>150</v>
      </c>
      <c r="KF10" s="80"/>
      <c r="KG10" s="80"/>
      <c r="KH10" s="80">
        <v>40</v>
      </c>
      <c r="KI10" s="80"/>
      <c r="KJ10" s="80"/>
      <c r="KK10" s="80"/>
      <c r="KL10" s="80"/>
      <c r="KM10" s="80">
        <v>60</v>
      </c>
      <c r="KN10" s="80"/>
      <c r="KO10" s="80"/>
      <c r="KP10" s="80"/>
      <c r="KQ10" s="80"/>
      <c r="KR10" s="80"/>
      <c r="KS10" s="80"/>
      <c r="KT10" s="80"/>
      <c r="KU10" s="80"/>
      <c r="KV10" s="80"/>
      <c r="KW10" s="80"/>
      <c r="KX10" s="80"/>
      <c r="KY10" s="80"/>
      <c r="KZ10" s="80">
        <v>70</v>
      </c>
      <c r="LA10" s="80"/>
      <c r="LB10" s="80"/>
      <c r="LC10" s="80"/>
      <c r="LD10" s="80"/>
      <c r="LE10" s="80"/>
      <c r="LF10" s="80"/>
      <c r="LG10" s="80"/>
      <c r="LH10" s="80"/>
      <c r="LI10" s="80"/>
      <c r="LJ10" s="80"/>
      <c r="LK10" s="80"/>
      <c r="LL10" s="80"/>
      <c r="LM10" s="80"/>
      <c r="LN10" s="80"/>
      <c r="LO10" s="80"/>
      <c r="LP10" s="80"/>
      <c r="LQ10" s="80"/>
      <c r="LR10" s="80"/>
      <c r="LS10" s="80"/>
      <c r="LT10" s="80"/>
      <c r="LU10" s="80"/>
      <c r="LV10" s="80"/>
      <c r="LW10" s="80"/>
      <c r="LX10" s="80"/>
      <c r="LY10" s="80"/>
      <c r="LZ10" s="80"/>
      <c r="MA10" s="80">
        <v>115</v>
      </c>
      <c r="MB10" s="80"/>
      <c r="MC10" s="80"/>
      <c r="MD10" s="80"/>
      <c r="ME10" s="80"/>
      <c r="MF10" s="80"/>
      <c r="MG10" s="80"/>
      <c r="MH10" s="80">
        <v>93</v>
      </c>
      <c r="MI10" s="80"/>
      <c r="MJ10" s="80"/>
      <c r="MK10" s="80"/>
      <c r="ML10" s="80"/>
      <c r="MM10" s="80"/>
      <c r="MN10" s="80"/>
      <c r="MO10" s="80">
        <v>81</v>
      </c>
      <c r="MP10" s="80">
        <v>40</v>
      </c>
      <c r="MQ10" s="80"/>
      <c r="MR10" s="80"/>
      <c r="MS10" s="80"/>
      <c r="MT10" s="80"/>
      <c r="MU10" s="80"/>
      <c r="MV10" s="80"/>
      <c r="MW10" s="80"/>
      <c r="MX10" s="80"/>
      <c r="MY10" s="80"/>
      <c r="MZ10" s="80"/>
      <c r="NA10" s="80"/>
      <c r="NB10" s="80"/>
      <c r="NC10" s="80"/>
      <c r="ND10" s="80"/>
      <c r="NE10" s="80">
        <v>80</v>
      </c>
      <c r="NF10" s="80"/>
      <c r="NG10" s="80"/>
      <c r="NH10" s="80"/>
      <c r="NI10" s="80"/>
    </row>
    <row r="11" spans="1:1067" x14ac:dyDescent="0.2">
      <c r="A11" s="18" t="s">
        <v>8</v>
      </c>
      <c r="B11" s="81">
        <v>1846</v>
      </c>
      <c r="C11" s="82"/>
      <c r="D11" s="82"/>
      <c r="E11" s="82">
        <v>1276</v>
      </c>
      <c r="F11" s="82"/>
      <c r="G11" s="82"/>
      <c r="H11" s="82"/>
      <c r="I11" s="82"/>
      <c r="J11" s="82">
        <v>2204</v>
      </c>
      <c r="K11" s="82"/>
      <c r="L11" s="82"/>
      <c r="M11" s="82"/>
      <c r="N11" s="82"/>
      <c r="O11" s="82"/>
      <c r="P11" s="82"/>
      <c r="Q11" s="82">
        <v>1304</v>
      </c>
      <c r="R11" s="82"/>
      <c r="S11" s="82"/>
      <c r="T11" s="82"/>
      <c r="U11" s="82"/>
      <c r="V11" s="82"/>
      <c r="W11" s="82"/>
      <c r="X11" s="82"/>
      <c r="Y11" s="82"/>
      <c r="Z11" s="82"/>
      <c r="AA11" s="82">
        <v>2851</v>
      </c>
      <c r="AB11" s="82"/>
      <c r="AC11" s="82"/>
      <c r="AD11" s="82"/>
      <c r="AE11" s="82"/>
      <c r="AF11" s="82"/>
      <c r="AG11" s="82">
        <v>1172</v>
      </c>
      <c r="AH11" s="82"/>
      <c r="AI11" s="82">
        <v>1154</v>
      </c>
      <c r="AJ11" s="82"/>
      <c r="AK11" s="82"/>
      <c r="AL11" s="82"/>
      <c r="AM11" s="82"/>
      <c r="AN11" s="82">
        <v>1163</v>
      </c>
      <c r="AO11" s="82">
        <v>1227</v>
      </c>
      <c r="AP11" s="82"/>
      <c r="AQ11" s="82"/>
      <c r="AR11" s="82"/>
      <c r="AS11" s="82"/>
      <c r="AT11" s="82"/>
      <c r="AU11" s="82"/>
      <c r="AV11" s="82">
        <v>1616</v>
      </c>
      <c r="AW11" s="82">
        <v>623</v>
      </c>
      <c r="AX11" s="82"/>
      <c r="AY11" s="82"/>
      <c r="AZ11" s="82">
        <v>2190</v>
      </c>
      <c r="BA11" s="82"/>
      <c r="BB11" s="82"/>
      <c r="BC11" s="82">
        <v>1200</v>
      </c>
      <c r="BD11" s="82"/>
      <c r="BE11" s="82"/>
      <c r="BF11" s="82"/>
      <c r="BG11" s="82"/>
      <c r="BH11" s="82">
        <v>126</v>
      </c>
      <c r="BI11" s="82">
        <v>1638</v>
      </c>
      <c r="BJ11" s="82"/>
      <c r="BK11" s="82"/>
      <c r="BL11" s="82"/>
      <c r="BM11" s="82"/>
      <c r="BN11" s="82"/>
      <c r="BO11" s="82"/>
      <c r="BP11" s="82"/>
      <c r="BQ11" s="82">
        <v>4177</v>
      </c>
      <c r="BR11" s="82"/>
      <c r="BS11" s="82"/>
      <c r="BT11" s="82"/>
      <c r="BU11" s="82"/>
      <c r="BV11" s="82"/>
      <c r="BW11" s="82"/>
      <c r="BX11" s="82"/>
      <c r="BY11" s="82"/>
      <c r="BZ11" s="82"/>
      <c r="CA11" s="82"/>
      <c r="CB11" s="82"/>
      <c r="CC11" s="82"/>
      <c r="CD11" s="82"/>
      <c r="CE11" s="82">
        <v>1224</v>
      </c>
      <c r="CF11" s="82">
        <v>1140</v>
      </c>
      <c r="CG11" s="82"/>
      <c r="CH11" s="82"/>
      <c r="CI11" s="82"/>
      <c r="CJ11" s="82"/>
      <c r="CK11" s="82"/>
      <c r="CL11" s="82"/>
      <c r="CM11" s="82">
        <v>2200</v>
      </c>
      <c r="CN11" s="82"/>
      <c r="CO11" s="82"/>
      <c r="CP11" s="82"/>
      <c r="CQ11" s="82"/>
      <c r="CR11" s="82"/>
      <c r="CS11" s="82"/>
      <c r="CT11" s="82"/>
      <c r="CU11" s="82"/>
      <c r="CV11" s="82"/>
      <c r="CW11" s="82"/>
      <c r="CX11" s="82"/>
      <c r="CY11" s="82"/>
      <c r="CZ11" s="82"/>
      <c r="DA11" s="82"/>
      <c r="DB11" s="82"/>
      <c r="DC11" s="82"/>
      <c r="DD11" s="82"/>
      <c r="DE11" s="82"/>
      <c r="DF11" s="82"/>
      <c r="DG11" s="82"/>
      <c r="DH11" s="82"/>
      <c r="DI11" s="82"/>
      <c r="DJ11" s="82"/>
      <c r="DK11" s="82">
        <v>2240</v>
      </c>
      <c r="DL11" s="82"/>
      <c r="DM11" s="82"/>
      <c r="DN11" s="82"/>
      <c r="DO11" s="82"/>
      <c r="DP11" s="82"/>
      <c r="DQ11" s="82"/>
      <c r="DR11" s="82"/>
      <c r="DS11" s="82"/>
      <c r="DT11" s="82"/>
      <c r="DU11" s="82"/>
      <c r="DV11" s="82"/>
      <c r="DW11" s="82"/>
      <c r="DX11" s="82"/>
      <c r="DY11" s="82"/>
      <c r="DZ11" s="82"/>
      <c r="EA11" s="82"/>
      <c r="EB11" s="82"/>
      <c r="EC11" s="82"/>
      <c r="ED11" s="82"/>
      <c r="EE11" s="82"/>
      <c r="EF11" s="82">
        <v>3240</v>
      </c>
      <c r="EG11" s="82"/>
      <c r="EH11" s="82"/>
      <c r="EI11" s="82"/>
      <c r="EJ11" s="82"/>
      <c r="EK11" s="82"/>
      <c r="EL11" s="82"/>
      <c r="EM11" s="82"/>
      <c r="EN11" s="82"/>
      <c r="EO11" s="82"/>
      <c r="EP11" s="82"/>
      <c r="EQ11" s="82"/>
      <c r="ER11" s="82"/>
      <c r="ES11" s="82"/>
      <c r="ET11" s="82"/>
      <c r="EU11" s="82"/>
      <c r="EV11" s="82"/>
      <c r="EW11" s="82">
        <v>2279</v>
      </c>
      <c r="EX11" s="82"/>
      <c r="EY11" s="82"/>
      <c r="EZ11" s="82"/>
      <c r="FA11" s="82"/>
      <c r="FB11" s="82"/>
      <c r="FC11" s="82">
        <v>232</v>
      </c>
      <c r="FD11" s="82"/>
      <c r="FE11" s="82"/>
      <c r="FF11" s="82"/>
      <c r="FG11" s="82"/>
      <c r="FH11" s="82">
        <v>3133</v>
      </c>
      <c r="FI11" s="82"/>
      <c r="FJ11" s="82"/>
      <c r="FK11" s="82"/>
      <c r="FL11" s="82"/>
      <c r="FM11" s="82"/>
      <c r="FN11" s="82"/>
      <c r="FO11" s="82"/>
      <c r="FP11" s="82"/>
      <c r="FQ11" s="82"/>
      <c r="FR11" s="82"/>
      <c r="FS11" s="82"/>
      <c r="FT11" s="82"/>
      <c r="FU11" s="82"/>
      <c r="FV11" s="82"/>
      <c r="FW11" s="82"/>
      <c r="FX11" s="82"/>
      <c r="FY11" s="82"/>
      <c r="FZ11" s="82"/>
      <c r="GA11" s="82"/>
      <c r="GB11" s="82"/>
      <c r="GC11" s="82"/>
      <c r="GD11" s="82"/>
      <c r="GE11" s="82"/>
      <c r="GF11" s="82"/>
      <c r="GG11" s="82"/>
      <c r="GH11" s="82"/>
      <c r="GI11" s="82"/>
      <c r="GJ11" s="82"/>
      <c r="GK11" s="82"/>
      <c r="GL11" s="82"/>
      <c r="GM11" s="82"/>
      <c r="GN11" s="82">
        <v>3316</v>
      </c>
      <c r="GO11" s="82"/>
      <c r="GP11" s="82"/>
      <c r="GQ11" s="82"/>
      <c r="GR11" s="82"/>
      <c r="GS11" s="82">
        <v>2953</v>
      </c>
      <c r="GT11" s="82"/>
      <c r="GU11" s="82"/>
      <c r="GV11" s="82"/>
      <c r="GW11" s="82"/>
      <c r="GX11" s="82"/>
      <c r="GY11" s="82"/>
      <c r="GZ11" s="82">
        <v>1211</v>
      </c>
      <c r="HA11" s="82"/>
      <c r="HB11" s="82">
        <v>1469</v>
      </c>
      <c r="HC11" s="82"/>
      <c r="HD11" s="82"/>
      <c r="HE11" s="82"/>
      <c r="HF11" s="82"/>
      <c r="HG11" s="82"/>
      <c r="HH11" s="82"/>
      <c r="HI11" s="82"/>
      <c r="HJ11" s="82"/>
      <c r="HK11" s="82"/>
      <c r="HL11" s="82"/>
      <c r="HM11" s="82"/>
      <c r="HN11" s="82">
        <v>1663</v>
      </c>
      <c r="HO11" s="82">
        <v>1049</v>
      </c>
      <c r="HP11" s="82">
        <v>1104</v>
      </c>
      <c r="HQ11" s="82"/>
      <c r="HR11" s="82"/>
      <c r="HS11" s="82">
        <v>1094</v>
      </c>
      <c r="HT11" s="82"/>
      <c r="HU11" s="82"/>
      <c r="HV11" s="82">
        <v>1268</v>
      </c>
      <c r="HW11" s="82"/>
      <c r="HX11" s="82"/>
      <c r="HY11" s="82"/>
      <c r="HZ11" s="82"/>
      <c r="IA11" s="82">
        <v>1737</v>
      </c>
      <c r="IB11" s="82"/>
      <c r="IC11" s="82"/>
      <c r="ID11" s="82">
        <v>1060</v>
      </c>
      <c r="IE11" s="82"/>
      <c r="IF11" s="82"/>
      <c r="IG11" s="82"/>
      <c r="IH11" s="82">
        <v>1658</v>
      </c>
      <c r="II11" s="82"/>
      <c r="IJ11" s="82"/>
      <c r="IK11" s="82">
        <v>2720</v>
      </c>
      <c r="IL11" s="82"/>
      <c r="IM11" s="82"/>
      <c r="IN11" s="82"/>
      <c r="IO11" s="82">
        <v>652</v>
      </c>
      <c r="IP11" s="82">
        <v>1611</v>
      </c>
      <c r="IQ11" s="82"/>
      <c r="IR11" s="82"/>
      <c r="IS11" s="82"/>
      <c r="IT11" s="82"/>
      <c r="IU11" s="82"/>
      <c r="IV11" s="82">
        <v>1682</v>
      </c>
      <c r="IW11" s="82"/>
      <c r="IX11" s="82">
        <v>553</v>
      </c>
      <c r="IY11" s="82"/>
      <c r="IZ11" s="82"/>
      <c r="JA11" s="82"/>
      <c r="JB11" s="82"/>
      <c r="JC11" s="82">
        <v>2583</v>
      </c>
      <c r="JD11" s="82"/>
      <c r="JE11" s="82"/>
      <c r="JF11" s="82"/>
      <c r="JG11" s="82"/>
      <c r="JH11" s="82"/>
      <c r="JI11" s="82"/>
      <c r="JJ11" s="82"/>
      <c r="JK11" s="82"/>
      <c r="JL11" s="82">
        <v>2254</v>
      </c>
      <c r="JM11" s="82"/>
      <c r="JN11" s="82"/>
      <c r="JO11" s="82"/>
      <c r="JP11" s="82"/>
      <c r="JQ11" s="82">
        <v>1132</v>
      </c>
      <c r="JR11" s="82"/>
      <c r="JS11" s="82">
        <v>2310</v>
      </c>
      <c r="JT11" s="82"/>
      <c r="JU11" s="82"/>
      <c r="JV11" s="82"/>
      <c r="JW11" s="82">
        <v>2885</v>
      </c>
      <c r="JX11" s="82"/>
      <c r="JY11" s="82"/>
      <c r="JZ11" s="82"/>
      <c r="KA11" s="82"/>
      <c r="KB11" s="82"/>
      <c r="KC11" s="82"/>
      <c r="KD11" s="82"/>
      <c r="KE11" s="82"/>
      <c r="KF11" s="82"/>
      <c r="KG11" s="82">
        <v>1685</v>
      </c>
      <c r="KH11" s="82"/>
      <c r="KI11" s="82"/>
      <c r="KJ11" s="82"/>
      <c r="KK11" s="82"/>
      <c r="KL11" s="82"/>
      <c r="KM11" s="82">
        <v>4668</v>
      </c>
      <c r="KN11" s="82"/>
      <c r="KO11" s="82"/>
      <c r="KP11" s="82"/>
      <c r="KQ11" s="82"/>
      <c r="KR11" s="82"/>
      <c r="KS11" s="82">
        <v>1080</v>
      </c>
      <c r="KT11" s="82"/>
      <c r="KU11" s="82">
        <v>1053</v>
      </c>
      <c r="KV11" s="82"/>
      <c r="KW11" s="82"/>
      <c r="KX11" s="82"/>
      <c r="KY11" s="82"/>
      <c r="KZ11" s="82">
        <v>3963</v>
      </c>
      <c r="LA11" s="82"/>
      <c r="LB11" s="82"/>
      <c r="LC11" s="82"/>
      <c r="LD11" s="82"/>
      <c r="LE11" s="82"/>
      <c r="LF11" s="82">
        <v>63</v>
      </c>
      <c r="LG11" s="82"/>
      <c r="LH11" s="82">
        <v>580</v>
      </c>
      <c r="LI11" s="82"/>
      <c r="LJ11" s="82">
        <v>1134</v>
      </c>
      <c r="LK11" s="82"/>
      <c r="LL11" s="82"/>
      <c r="LM11" s="82"/>
      <c r="LN11" s="82"/>
      <c r="LO11" s="82"/>
      <c r="LP11" s="82"/>
      <c r="LQ11" s="82"/>
      <c r="LR11" s="82"/>
      <c r="LS11" s="82"/>
      <c r="LT11" s="82"/>
      <c r="LU11" s="82"/>
      <c r="LV11" s="82"/>
      <c r="LW11" s="82">
        <v>4402</v>
      </c>
      <c r="LX11" s="82"/>
      <c r="LY11" s="82"/>
      <c r="LZ11" s="82"/>
      <c r="MA11" s="82"/>
      <c r="MB11" s="82"/>
      <c r="MC11" s="82"/>
      <c r="MD11" s="82"/>
      <c r="ME11" s="82"/>
      <c r="MF11" s="82"/>
      <c r="MG11" s="82"/>
      <c r="MH11" s="82">
        <v>460</v>
      </c>
      <c r="MI11" s="82"/>
      <c r="MJ11" s="82"/>
      <c r="MK11" s="82"/>
      <c r="ML11" s="82">
        <v>2772</v>
      </c>
      <c r="MM11" s="82"/>
      <c r="MN11" s="82"/>
      <c r="MO11" s="82">
        <v>4462</v>
      </c>
      <c r="MP11" s="82"/>
      <c r="MQ11" s="82"/>
      <c r="MR11" s="82"/>
      <c r="MS11" s="82"/>
      <c r="MT11" s="82"/>
      <c r="MU11" s="82"/>
      <c r="MV11" s="82"/>
      <c r="MW11" s="82"/>
      <c r="MX11" s="82"/>
      <c r="MY11" s="82"/>
      <c r="MZ11" s="82"/>
      <c r="NA11" s="82"/>
      <c r="NB11" s="82"/>
      <c r="NC11" s="82">
        <v>1883</v>
      </c>
      <c r="ND11" s="82"/>
      <c r="NE11" s="82"/>
      <c r="NF11" s="82">
        <v>553</v>
      </c>
      <c r="NG11" s="82"/>
      <c r="NH11" s="82"/>
      <c r="NI11" s="82"/>
    </row>
    <row r="12" spans="1:1067" x14ac:dyDescent="0.2">
      <c r="A12" s="18" t="s">
        <v>9</v>
      </c>
      <c r="B12" s="81">
        <v>541</v>
      </c>
      <c r="C12" s="83"/>
      <c r="D12" s="83">
        <v>935</v>
      </c>
      <c r="E12" s="83"/>
      <c r="F12" s="83"/>
      <c r="G12" s="83"/>
      <c r="H12" s="83"/>
      <c r="I12" s="83"/>
      <c r="J12" s="83"/>
      <c r="K12" s="83"/>
      <c r="L12" s="83"/>
      <c r="M12" s="83"/>
      <c r="N12" s="83">
        <v>515</v>
      </c>
      <c r="O12" s="83"/>
      <c r="P12" s="83"/>
      <c r="Q12" s="83"/>
      <c r="R12" s="83"/>
      <c r="S12" s="83"/>
      <c r="T12" s="83">
        <v>659</v>
      </c>
      <c r="U12" s="83"/>
      <c r="V12" s="83"/>
      <c r="W12" s="83"/>
      <c r="X12" s="83"/>
      <c r="Y12" s="83"/>
      <c r="Z12" s="83"/>
      <c r="AA12" s="83"/>
      <c r="AB12" s="83">
        <v>668</v>
      </c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>
        <v>388</v>
      </c>
      <c r="AN12" s="83"/>
      <c r="AO12" s="83"/>
      <c r="AP12" s="83"/>
      <c r="AQ12" s="83"/>
      <c r="AR12" s="83"/>
      <c r="AS12" s="83"/>
      <c r="AT12" s="83"/>
      <c r="AU12" s="83">
        <v>929</v>
      </c>
      <c r="AV12" s="83"/>
      <c r="AW12" s="83"/>
      <c r="AX12" s="83"/>
      <c r="AY12" s="83"/>
      <c r="AZ12" s="83">
        <v>262</v>
      </c>
      <c r="BA12" s="83"/>
      <c r="BB12" s="83"/>
      <c r="BC12" s="83"/>
      <c r="BD12" s="83">
        <v>1098</v>
      </c>
      <c r="BE12" s="83"/>
      <c r="BF12" s="83"/>
      <c r="BG12" s="83"/>
      <c r="BH12" s="83"/>
      <c r="BI12" s="83"/>
      <c r="BJ12" s="83"/>
      <c r="BK12" s="83">
        <v>240</v>
      </c>
      <c r="BL12" s="83"/>
      <c r="BM12" s="83"/>
      <c r="BN12" s="83"/>
      <c r="BO12" s="83"/>
      <c r="BP12" s="83">
        <v>2491</v>
      </c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83"/>
      <c r="DU12" s="83"/>
      <c r="DV12" s="83"/>
      <c r="DW12" s="83"/>
      <c r="DX12" s="83"/>
      <c r="DY12" s="83"/>
      <c r="DZ12" s="83"/>
      <c r="EA12" s="83"/>
      <c r="EB12" s="83"/>
      <c r="EC12" s="83"/>
      <c r="ED12" s="83"/>
      <c r="EE12" s="83"/>
      <c r="EF12" s="83"/>
      <c r="EG12" s="83"/>
      <c r="EH12" s="83"/>
      <c r="EI12" s="83"/>
      <c r="EJ12" s="83"/>
      <c r="EK12" s="83"/>
      <c r="EL12" s="83"/>
      <c r="EM12" s="83"/>
      <c r="EN12" s="83"/>
      <c r="EO12" s="83"/>
      <c r="EP12" s="83"/>
      <c r="EQ12" s="83"/>
      <c r="ER12" s="83"/>
      <c r="ES12" s="83"/>
      <c r="ET12" s="83"/>
      <c r="EU12" s="83">
        <v>996</v>
      </c>
      <c r="EV12" s="83"/>
      <c r="EW12" s="83"/>
      <c r="EX12" s="83"/>
      <c r="EY12" s="83"/>
      <c r="EZ12" s="83"/>
      <c r="FA12" s="83"/>
      <c r="FB12" s="83"/>
      <c r="FC12" s="83"/>
      <c r="FD12" s="83"/>
      <c r="FE12" s="83"/>
      <c r="FF12" s="83"/>
      <c r="FG12" s="83"/>
      <c r="FH12" s="83"/>
      <c r="FI12" s="83"/>
      <c r="FJ12" s="83"/>
      <c r="FK12" s="83"/>
      <c r="FL12" s="83"/>
      <c r="FM12" s="83"/>
      <c r="FN12" s="83"/>
      <c r="FO12" s="83">
        <v>36</v>
      </c>
      <c r="FP12" s="83"/>
      <c r="FQ12" s="83"/>
      <c r="FR12" s="83"/>
      <c r="FS12" s="83"/>
      <c r="FT12" s="83"/>
      <c r="FU12" s="83"/>
      <c r="FV12" s="83"/>
      <c r="FW12" s="83"/>
      <c r="FX12" s="83"/>
      <c r="FY12" s="83"/>
      <c r="FZ12" s="83"/>
      <c r="GA12" s="83"/>
      <c r="GB12" s="83"/>
      <c r="GC12" s="83"/>
      <c r="GD12" s="83">
        <v>1345</v>
      </c>
      <c r="GE12" s="83"/>
      <c r="GF12" s="83"/>
      <c r="GG12" s="83"/>
      <c r="GH12" s="83"/>
      <c r="GI12" s="83"/>
      <c r="GJ12" s="83"/>
      <c r="GK12" s="83"/>
      <c r="GL12" s="83"/>
      <c r="GM12" s="83"/>
      <c r="GN12" s="83"/>
      <c r="GO12" s="83"/>
      <c r="GP12" s="83"/>
      <c r="GQ12" s="83"/>
      <c r="GR12" s="83"/>
      <c r="GS12" s="83"/>
      <c r="GT12" s="83"/>
      <c r="GU12" s="83"/>
      <c r="GV12" s="83"/>
      <c r="GW12" s="83"/>
      <c r="GX12" s="83">
        <v>693</v>
      </c>
      <c r="GY12" s="83"/>
      <c r="GZ12" s="83"/>
      <c r="HA12" s="83"/>
      <c r="HB12" s="83"/>
      <c r="HC12" s="83"/>
      <c r="HD12" s="83"/>
      <c r="HE12" s="83"/>
      <c r="HF12" s="83"/>
      <c r="HG12" s="83"/>
      <c r="HH12" s="83"/>
      <c r="HI12" s="83"/>
      <c r="HJ12" s="83"/>
      <c r="HK12" s="83"/>
      <c r="HL12" s="83"/>
      <c r="HM12" s="83"/>
      <c r="HN12" s="83">
        <v>176</v>
      </c>
      <c r="HO12" s="83"/>
      <c r="HP12" s="83">
        <v>520</v>
      </c>
      <c r="HQ12" s="83"/>
      <c r="HR12" s="83"/>
      <c r="HS12" s="83"/>
      <c r="HT12" s="83"/>
      <c r="HU12" s="83"/>
      <c r="HV12" s="83"/>
      <c r="HW12" s="83"/>
      <c r="HX12" s="83"/>
      <c r="HY12" s="83"/>
      <c r="HZ12" s="83"/>
      <c r="IA12" s="83"/>
      <c r="IB12" s="83">
        <v>643</v>
      </c>
      <c r="IC12" s="83"/>
      <c r="ID12" s="83"/>
      <c r="IE12" s="83"/>
      <c r="IF12" s="83"/>
      <c r="IG12" s="83"/>
      <c r="IH12" s="83"/>
      <c r="II12" s="83"/>
      <c r="IJ12" s="83"/>
      <c r="IK12" s="83"/>
      <c r="IL12" s="83"/>
      <c r="IM12" s="83"/>
      <c r="IN12" s="83">
        <v>500</v>
      </c>
      <c r="IO12" s="83"/>
      <c r="IP12" s="83"/>
      <c r="IQ12" s="83">
        <v>1305</v>
      </c>
      <c r="IR12" s="83"/>
      <c r="IS12" s="83"/>
      <c r="IT12" s="83"/>
      <c r="IU12" s="83"/>
      <c r="IV12" s="83"/>
      <c r="IW12" s="83">
        <v>1597</v>
      </c>
      <c r="IX12" s="83"/>
      <c r="IY12" s="83"/>
      <c r="IZ12" s="83"/>
      <c r="JA12" s="83"/>
      <c r="JB12" s="83"/>
      <c r="JC12" s="83"/>
      <c r="JD12" s="83"/>
      <c r="JE12" s="83"/>
      <c r="JF12" s="83"/>
      <c r="JG12" s="83"/>
      <c r="JH12" s="83"/>
      <c r="JI12" s="83"/>
      <c r="JJ12" s="83"/>
      <c r="JK12" s="83"/>
      <c r="JL12" s="83"/>
      <c r="JM12" s="83"/>
      <c r="JN12" s="83"/>
      <c r="JO12" s="83"/>
      <c r="JP12" s="83"/>
      <c r="JQ12" s="83"/>
      <c r="JR12" s="83"/>
      <c r="JS12" s="83"/>
      <c r="JT12" s="83"/>
      <c r="JU12" s="83"/>
      <c r="JV12" s="83"/>
      <c r="JW12" s="83"/>
      <c r="JX12" s="83"/>
      <c r="JY12" s="83"/>
      <c r="JZ12" s="83"/>
      <c r="KA12" s="83"/>
      <c r="KB12" s="83"/>
      <c r="KC12" s="83"/>
      <c r="KD12" s="83"/>
      <c r="KE12" s="83"/>
      <c r="KF12" s="83"/>
      <c r="KG12" s="83"/>
      <c r="KH12" s="83">
        <v>521</v>
      </c>
      <c r="KI12" s="83"/>
      <c r="KJ12" s="83"/>
      <c r="KK12" s="83"/>
      <c r="KL12" s="83"/>
      <c r="KM12" s="83"/>
      <c r="KN12" s="83"/>
      <c r="KO12" s="83"/>
      <c r="KP12" s="83"/>
      <c r="KQ12" s="83"/>
      <c r="KR12" s="83"/>
      <c r="KS12" s="83"/>
      <c r="KT12" s="83"/>
      <c r="KU12" s="83"/>
      <c r="KV12" s="83">
        <v>1002</v>
      </c>
      <c r="KW12" s="83"/>
      <c r="KX12" s="83"/>
      <c r="KY12" s="83"/>
      <c r="KZ12" s="83"/>
      <c r="LA12" s="83"/>
      <c r="LB12" s="83"/>
      <c r="LC12" s="83"/>
      <c r="LD12" s="83"/>
      <c r="LE12" s="83"/>
      <c r="LF12" s="83"/>
      <c r="LG12" s="83"/>
      <c r="LH12" s="83">
        <v>1070</v>
      </c>
      <c r="LI12" s="83"/>
      <c r="LJ12" s="83"/>
      <c r="LK12" s="83"/>
      <c r="LL12" s="83"/>
      <c r="LM12" s="83"/>
      <c r="LN12" s="83"/>
      <c r="LO12" s="83">
        <v>0</v>
      </c>
      <c r="LP12" s="83"/>
      <c r="LQ12" s="83"/>
      <c r="LR12" s="83"/>
      <c r="LS12" s="83"/>
      <c r="LT12" s="83"/>
      <c r="LU12" s="83"/>
      <c r="LV12" s="83"/>
      <c r="LW12" s="83"/>
      <c r="LX12" s="83">
        <v>2136</v>
      </c>
      <c r="LY12" s="83"/>
      <c r="LZ12" s="83"/>
      <c r="MA12" s="83"/>
      <c r="MB12" s="83"/>
      <c r="MC12" s="83"/>
      <c r="MD12" s="83"/>
      <c r="ME12" s="83"/>
      <c r="MF12" s="83"/>
      <c r="MG12" s="83"/>
      <c r="MH12" s="83"/>
      <c r="MI12" s="83"/>
      <c r="MJ12" s="83"/>
      <c r="MK12" s="83"/>
      <c r="ML12" s="83"/>
      <c r="MM12" s="83"/>
      <c r="MN12" s="83"/>
      <c r="MO12" s="83"/>
      <c r="MP12" s="83"/>
      <c r="MQ12" s="83">
        <v>2524</v>
      </c>
      <c r="MR12" s="83"/>
      <c r="MS12" s="83"/>
      <c r="MT12" s="83"/>
      <c r="MU12" s="83"/>
      <c r="MV12" s="83"/>
      <c r="MW12" s="83"/>
      <c r="MX12" s="83"/>
      <c r="MY12" s="83"/>
      <c r="MZ12" s="83"/>
      <c r="NA12" s="83"/>
      <c r="NB12" s="83"/>
      <c r="NC12" s="83"/>
      <c r="ND12" s="83"/>
      <c r="NE12" s="83">
        <v>513</v>
      </c>
      <c r="NF12" s="83"/>
      <c r="NG12" s="83"/>
      <c r="NH12" s="83"/>
      <c r="NI12" s="83"/>
    </row>
    <row r="13" spans="1:1067" x14ac:dyDescent="0.2">
      <c r="A13" s="18" t="s">
        <v>10</v>
      </c>
      <c r="B13" s="81">
        <v>1148</v>
      </c>
      <c r="C13" s="82">
        <v>1223</v>
      </c>
      <c r="D13" s="82"/>
      <c r="E13" s="82"/>
      <c r="F13" s="82"/>
      <c r="G13" s="82"/>
      <c r="H13" s="82"/>
      <c r="I13" s="82"/>
      <c r="J13" s="82"/>
      <c r="K13" s="82">
        <v>174</v>
      </c>
      <c r="L13" s="82">
        <v>760</v>
      </c>
      <c r="M13" s="82">
        <v>290</v>
      </c>
      <c r="N13" s="82"/>
      <c r="O13" s="82"/>
      <c r="P13" s="82"/>
      <c r="Q13" s="82">
        <v>970</v>
      </c>
      <c r="R13" s="82"/>
      <c r="S13" s="82"/>
      <c r="T13" s="82"/>
      <c r="U13" s="82">
        <v>284</v>
      </c>
      <c r="V13" s="82"/>
      <c r="W13" s="82"/>
      <c r="X13" s="82">
        <v>864</v>
      </c>
      <c r="Y13" s="82"/>
      <c r="Z13" s="82"/>
      <c r="AA13" s="82">
        <v>829</v>
      </c>
      <c r="AB13" s="82"/>
      <c r="AC13" s="82"/>
      <c r="AD13" s="82"/>
      <c r="AE13" s="82"/>
      <c r="AF13" s="82"/>
      <c r="AG13" s="82">
        <v>905</v>
      </c>
      <c r="AH13" s="82"/>
      <c r="AI13" s="82">
        <v>1023</v>
      </c>
      <c r="AJ13" s="82"/>
      <c r="AK13" s="82"/>
      <c r="AL13" s="82"/>
      <c r="AM13" s="82"/>
      <c r="AN13" s="82"/>
      <c r="AO13" s="82">
        <v>950</v>
      </c>
      <c r="AP13" s="82">
        <v>288</v>
      </c>
      <c r="AQ13" s="82"/>
      <c r="AR13" s="82"/>
      <c r="AS13" s="82">
        <v>1104</v>
      </c>
      <c r="AT13" s="82">
        <v>840</v>
      </c>
      <c r="AU13" s="82"/>
      <c r="AV13" s="82"/>
      <c r="AW13" s="82">
        <v>576</v>
      </c>
      <c r="AX13" s="82">
        <v>865</v>
      </c>
      <c r="AY13" s="82"/>
      <c r="AZ13" s="82"/>
      <c r="BA13" s="82"/>
      <c r="BB13" s="82">
        <v>325</v>
      </c>
      <c r="BC13" s="82">
        <v>1050</v>
      </c>
      <c r="BD13" s="82"/>
      <c r="BE13" s="82"/>
      <c r="BF13" s="82"/>
      <c r="BG13" s="82">
        <v>586</v>
      </c>
      <c r="BH13" s="82">
        <v>1170</v>
      </c>
      <c r="BI13" s="82"/>
      <c r="BJ13" s="82">
        <v>1227</v>
      </c>
      <c r="BK13" s="82"/>
      <c r="BL13" s="82"/>
      <c r="BM13" s="82"/>
      <c r="BN13" s="82">
        <v>1003</v>
      </c>
      <c r="BO13" s="82"/>
      <c r="BP13" s="82"/>
      <c r="BQ13" s="82"/>
      <c r="BR13" s="82"/>
      <c r="BS13" s="82"/>
      <c r="BT13" s="82"/>
      <c r="BU13" s="82"/>
      <c r="BV13" s="82">
        <v>682</v>
      </c>
      <c r="BW13" s="82"/>
      <c r="BX13" s="82"/>
      <c r="BY13" s="82">
        <v>283</v>
      </c>
      <c r="BZ13" s="82"/>
      <c r="CA13" s="82"/>
      <c r="CB13" s="82">
        <v>1407</v>
      </c>
      <c r="CC13" s="82"/>
      <c r="CD13" s="82"/>
      <c r="CE13" s="82">
        <v>1103</v>
      </c>
      <c r="CF13" s="82"/>
      <c r="CG13" s="82"/>
      <c r="CH13" s="82"/>
      <c r="CI13" s="82"/>
      <c r="CJ13" s="82"/>
      <c r="CK13" s="82"/>
      <c r="CL13" s="82"/>
      <c r="CM13" s="82">
        <v>312</v>
      </c>
      <c r="CN13" s="82"/>
      <c r="CO13" s="82"/>
      <c r="CP13" s="82"/>
      <c r="CQ13" s="82"/>
      <c r="CR13" s="82"/>
      <c r="CS13" s="82">
        <v>807</v>
      </c>
      <c r="CT13" s="82"/>
      <c r="CU13" s="82"/>
      <c r="CV13" s="82"/>
      <c r="CW13" s="82"/>
      <c r="CX13" s="82"/>
      <c r="CY13" s="82"/>
      <c r="CZ13" s="82"/>
      <c r="DA13" s="82"/>
      <c r="DB13" s="82"/>
      <c r="DC13" s="82"/>
      <c r="DD13" s="82"/>
      <c r="DE13" s="82"/>
      <c r="DF13" s="82"/>
      <c r="DG13" s="82">
        <v>1161</v>
      </c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>
        <v>1020</v>
      </c>
      <c r="DS13" s="82"/>
      <c r="DT13" s="82"/>
      <c r="DU13" s="82"/>
      <c r="DV13" s="82"/>
      <c r="DW13" s="82"/>
      <c r="DX13" s="82"/>
      <c r="DY13" s="82">
        <v>624</v>
      </c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>
        <v>142</v>
      </c>
      <c r="EK13" s="82"/>
      <c r="EL13" s="82"/>
      <c r="EM13" s="82">
        <v>582</v>
      </c>
      <c r="EN13" s="82"/>
      <c r="EO13" s="82">
        <v>785</v>
      </c>
      <c r="EP13" s="82"/>
      <c r="EQ13" s="82"/>
      <c r="ER13" s="82"/>
      <c r="ES13" s="82"/>
      <c r="ET13" s="82">
        <v>747</v>
      </c>
      <c r="EU13" s="82"/>
      <c r="EV13" s="82"/>
      <c r="EW13" s="82"/>
      <c r="EX13" s="82"/>
      <c r="EY13" s="82"/>
      <c r="EZ13" s="82"/>
      <c r="FA13" s="82"/>
      <c r="FB13" s="82"/>
      <c r="FC13" s="82">
        <v>224</v>
      </c>
      <c r="FD13" s="82"/>
      <c r="FE13" s="82"/>
      <c r="FF13" s="82"/>
      <c r="FG13" s="82"/>
      <c r="FH13" s="82"/>
      <c r="FI13" s="82"/>
      <c r="FJ13" s="82"/>
      <c r="FK13" s="82"/>
      <c r="FL13" s="82"/>
      <c r="FM13" s="82"/>
      <c r="FN13" s="82"/>
      <c r="FO13" s="82">
        <v>1046</v>
      </c>
      <c r="FP13" s="82"/>
      <c r="FQ13" s="82"/>
      <c r="FR13" s="82"/>
      <c r="FS13" s="82"/>
      <c r="FT13" s="82"/>
      <c r="FU13" s="82"/>
      <c r="FV13" s="82"/>
      <c r="FW13" s="82">
        <v>894</v>
      </c>
      <c r="FX13" s="82"/>
      <c r="FY13" s="82"/>
      <c r="FZ13" s="82"/>
      <c r="GA13" s="82"/>
      <c r="GB13" s="82"/>
      <c r="GC13" s="82"/>
      <c r="GD13" s="82"/>
      <c r="GE13" s="82"/>
      <c r="GF13" s="82"/>
      <c r="GG13" s="82"/>
      <c r="GH13" s="82"/>
      <c r="GI13" s="82"/>
      <c r="GJ13" s="82"/>
      <c r="GK13" s="82"/>
      <c r="GL13" s="82">
        <v>1498</v>
      </c>
      <c r="GM13" s="82"/>
      <c r="GN13" s="82"/>
      <c r="GO13" s="82"/>
      <c r="GP13" s="82"/>
      <c r="GQ13" s="82">
        <v>432</v>
      </c>
      <c r="GR13" s="82">
        <v>371</v>
      </c>
      <c r="GS13" s="82">
        <v>1045</v>
      </c>
      <c r="GT13" s="82">
        <v>299</v>
      </c>
      <c r="GU13" s="82"/>
      <c r="GV13" s="82"/>
      <c r="GW13" s="82"/>
      <c r="GX13" s="82"/>
      <c r="GY13" s="82">
        <v>591</v>
      </c>
      <c r="GZ13" s="82">
        <v>527</v>
      </c>
      <c r="HA13" s="82"/>
      <c r="HB13" s="82"/>
      <c r="HC13" s="82"/>
      <c r="HD13" s="82"/>
      <c r="HE13" s="82">
        <v>583</v>
      </c>
      <c r="HF13" s="82">
        <v>286</v>
      </c>
      <c r="HG13" s="82"/>
      <c r="HH13" s="82">
        <v>532</v>
      </c>
      <c r="HI13" s="82"/>
      <c r="HJ13" s="82"/>
      <c r="HK13" s="82"/>
      <c r="HL13" s="82">
        <v>837</v>
      </c>
      <c r="HM13" s="82"/>
      <c r="HN13" s="82"/>
      <c r="HO13" s="82"/>
      <c r="HP13" s="82"/>
      <c r="HQ13" s="82"/>
      <c r="HR13" s="82"/>
      <c r="HS13" s="82"/>
      <c r="HT13" s="82"/>
      <c r="HU13" s="82"/>
      <c r="HV13" s="82"/>
      <c r="HW13" s="82">
        <v>468</v>
      </c>
      <c r="HX13" s="82"/>
      <c r="HY13" s="82"/>
      <c r="HZ13" s="82">
        <v>1328</v>
      </c>
      <c r="IA13" s="82">
        <v>820</v>
      </c>
      <c r="IB13" s="82"/>
      <c r="IC13" s="82"/>
      <c r="ID13" s="82">
        <v>600</v>
      </c>
      <c r="IE13" s="82"/>
      <c r="IF13" s="82"/>
      <c r="IG13" s="82"/>
      <c r="IH13" s="82">
        <v>1202</v>
      </c>
      <c r="II13" s="82"/>
      <c r="IJ13" s="82">
        <v>837</v>
      </c>
      <c r="IK13" s="82"/>
      <c r="IL13" s="82"/>
      <c r="IM13" s="82"/>
      <c r="IN13" s="82"/>
      <c r="IO13" s="82">
        <v>424</v>
      </c>
      <c r="IP13" s="82">
        <v>580</v>
      </c>
      <c r="IQ13" s="82"/>
      <c r="IR13" s="82"/>
      <c r="IS13" s="82"/>
      <c r="IT13" s="82"/>
      <c r="IU13" s="82">
        <v>878</v>
      </c>
      <c r="IV13" s="82">
        <v>1026</v>
      </c>
      <c r="IW13" s="82"/>
      <c r="IX13" s="82"/>
      <c r="IY13" s="82"/>
      <c r="IZ13" s="82"/>
      <c r="JA13" s="82"/>
      <c r="JB13" s="82">
        <v>1582</v>
      </c>
      <c r="JC13" s="82">
        <v>354</v>
      </c>
      <c r="JD13" s="82"/>
      <c r="JE13" s="82"/>
      <c r="JF13" s="82"/>
      <c r="JG13" s="82"/>
      <c r="JH13" s="82"/>
      <c r="JI13" s="82"/>
      <c r="JJ13" s="82">
        <v>421</v>
      </c>
      <c r="JK13" s="82">
        <v>0</v>
      </c>
      <c r="JL13" s="82">
        <v>748</v>
      </c>
      <c r="JM13" s="82"/>
      <c r="JN13" s="82"/>
      <c r="JO13" s="82"/>
      <c r="JP13" s="82">
        <v>1448</v>
      </c>
      <c r="JQ13" s="82"/>
      <c r="JR13" s="82"/>
      <c r="JS13" s="82">
        <v>791</v>
      </c>
      <c r="JT13" s="82"/>
      <c r="JU13" s="82"/>
      <c r="JV13" s="82"/>
      <c r="JW13" s="82"/>
      <c r="JX13" s="82">
        <v>740</v>
      </c>
      <c r="JY13" s="82">
        <v>1307</v>
      </c>
      <c r="JZ13" s="82"/>
      <c r="KA13" s="82"/>
      <c r="KB13" s="82"/>
      <c r="KC13" s="82"/>
      <c r="KD13" s="82"/>
      <c r="KE13" s="82">
        <v>583</v>
      </c>
      <c r="KF13" s="82">
        <v>847</v>
      </c>
      <c r="KG13" s="82"/>
      <c r="KH13" s="82"/>
      <c r="KI13" s="82"/>
      <c r="KJ13" s="82"/>
      <c r="KK13" s="82"/>
      <c r="KL13" s="82">
        <v>1477</v>
      </c>
      <c r="KM13" s="82"/>
      <c r="KN13" s="82"/>
      <c r="KO13" s="82">
        <v>1014</v>
      </c>
      <c r="KP13" s="82"/>
      <c r="KQ13" s="82"/>
      <c r="KR13" s="82"/>
      <c r="KS13" s="82">
        <v>747</v>
      </c>
      <c r="KT13" s="82"/>
      <c r="KU13" s="82">
        <v>533</v>
      </c>
      <c r="KV13" s="82"/>
      <c r="KW13" s="82"/>
      <c r="KX13" s="82"/>
      <c r="KY13" s="82"/>
      <c r="KZ13" s="82"/>
      <c r="LA13" s="82"/>
      <c r="LB13" s="82"/>
      <c r="LC13" s="82"/>
      <c r="LD13" s="82"/>
      <c r="LE13" s="82"/>
      <c r="LF13" s="82">
        <v>1005</v>
      </c>
      <c r="LG13" s="82"/>
      <c r="LH13" s="82"/>
      <c r="LI13" s="82"/>
      <c r="LJ13" s="82"/>
      <c r="LK13" s="82"/>
      <c r="LL13" s="82"/>
      <c r="LM13" s="82">
        <v>1931</v>
      </c>
      <c r="LN13" s="82">
        <v>0</v>
      </c>
      <c r="LO13" s="82">
        <v>1000</v>
      </c>
      <c r="LP13" s="82">
        <v>839</v>
      </c>
      <c r="LQ13" s="82">
        <v>0</v>
      </c>
      <c r="LR13" s="82"/>
      <c r="LS13" s="82"/>
      <c r="LT13" s="82"/>
      <c r="LU13" s="82"/>
      <c r="LV13" s="82"/>
      <c r="LW13" s="82"/>
      <c r="LX13" s="82"/>
      <c r="LY13" s="82"/>
      <c r="LZ13" s="82"/>
      <c r="MA13" s="82">
        <v>1163</v>
      </c>
      <c r="MB13" s="82"/>
      <c r="MC13" s="82">
        <v>806</v>
      </c>
      <c r="MD13" s="82"/>
      <c r="ME13" s="82"/>
      <c r="MF13" s="82"/>
      <c r="MG13" s="82"/>
      <c r="MH13" s="82">
        <v>1489</v>
      </c>
      <c r="MI13" s="82"/>
      <c r="MJ13" s="82"/>
      <c r="MK13" s="82"/>
      <c r="ML13" s="82"/>
      <c r="MM13" s="82"/>
      <c r="MN13" s="82"/>
      <c r="MO13" s="82"/>
      <c r="MP13" s="82"/>
      <c r="MQ13" s="82"/>
      <c r="MR13" s="82"/>
      <c r="MS13" s="82">
        <v>1462</v>
      </c>
      <c r="MT13" s="82"/>
      <c r="MU13" s="82"/>
      <c r="MV13" s="82">
        <v>591</v>
      </c>
      <c r="MW13" s="82">
        <v>547</v>
      </c>
      <c r="MX13" s="82">
        <v>1163</v>
      </c>
      <c r="MY13" s="82">
        <v>137</v>
      </c>
      <c r="MZ13" s="82"/>
      <c r="NA13" s="82"/>
      <c r="NB13" s="82"/>
      <c r="NC13" s="82">
        <v>855</v>
      </c>
      <c r="ND13" s="82"/>
      <c r="NE13" s="82"/>
      <c r="NF13" s="82">
        <v>133</v>
      </c>
      <c r="NG13" s="82"/>
      <c r="NH13" s="82"/>
      <c r="NI13" s="82"/>
    </row>
    <row r="14" spans="1:1067" ht="16" thickBot="1" x14ac:dyDescent="0.25">
      <c r="A14" s="22" t="s">
        <v>11</v>
      </c>
      <c r="B14" s="84">
        <v>307</v>
      </c>
      <c r="C14" s="85"/>
      <c r="D14" s="85">
        <v>264</v>
      </c>
      <c r="E14" s="85"/>
      <c r="F14" s="85"/>
      <c r="G14" s="85"/>
      <c r="H14" s="85"/>
      <c r="I14" s="85"/>
      <c r="J14" s="85">
        <v>131</v>
      </c>
      <c r="K14" s="85"/>
      <c r="L14" s="85"/>
      <c r="M14" s="85"/>
      <c r="N14" s="85">
        <v>121</v>
      </c>
      <c r="O14" s="85"/>
      <c r="P14" s="85"/>
      <c r="Q14" s="85"/>
      <c r="R14" s="85"/>
      <c r="S14" s="85"/>
      <c r="T14" s="85">
        <v>665</v>
      </c>
      <c r="U14" s="85"/>
      <c r="V14" s="85"/>
      <c r="W14" s="85"/>
      <c r="X14" s="85"/>
      <c r="Y14" s="85"/>
      <c r="Z14" s="85"/>
      <c r="AA14" s="85"/>
      <c r="AB14" s="85">
        <v>350</v>
      </c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>
        <v>160</v>
      </c>
      <c r="AN14" s="85"/>
      <c r="AO14" s="85"/>
      <c r="AP14" s="85">
        <v>126</v>
      </c>
      <c r="AQ14" s="85"/>
      <c r="AR14" s="85"/>
      <c r="AS14" s="85"/>
      <c r="AT14" s="85">
        <v>386</v>
      </c>
      <c r="AU14" s="85">
        <v>302</v>
      </c>
      <c r="AV14" s="85"/>
      <c r="AW14" s="85"/>
      <c r="AX14" s="85"/>
      <c r="AY14" s="85"/>
      <c r="AZ14" s="85">
        <v>483</v>
      </c>
      <c r="BA14" s="85"/>
      <c r="BB14" s="85"/>
      <c r="BC14" s="85"/>
      <c r="BD14" s="85">
        <v>261</v>
      </c>
      <c r="BE14" s="85"/>
      <c r="BF14" s="85"/>
      <c r="BG14" s="85"/>
      <c r="BH14" s="85"/>
      <c r="BI14" s="85">
        <v>125</v>
      </c>
      <c r="BJ14" s="85">
        <v>360</v>
      </c>
      <c r="BK14" s="85">
        <v>321</v>
      </c>
      <c r="BL14" s="85"/>
      <c r="BM14" s="85"/>
      <c r="BN14" s="85"/>
      <c r="BO14" s="85">
        <v>620</v>
      </c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>
        <v>400</v>
      </c>
      <c r="CG14" s="85"/>
      <c r="CH14" s="85"/>
      <c r="CI14" s="85"/>
      <c r="CJ14" s="85"/>
      <c r="CK14" s="85"/>
      <c r="CL14" s="85"/>
      <c r="CM14" s="85"/>
      <c r="CN14" s="85"/>
      <c r="CO14" s="85"/>
      <c r="CP14" s="85">
        <v>131</v>
      </c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>
        <v>400</v>
      </c>
      <c r="DI14" s="85"/>
      <c r="DJ14" s="85"/>
      <c r="DK14" s="85"/>
      <c r="DL14" s="85"/>
      <c r="DM14" s="85"/>
      <c r="DN14" s="85"/>
      <c r="DO14" s="85">
        <v>537</v>
      </c>
      <c r="DP14" s="85"/>
      <c r="DQ14" s="85"/>
      <c r="DR14" s="85"/>
      <c r="DS14" s="85"/>
      <c r="DT14" s="85"/>
      <c r="DU14" s="85"/>
      <c r="DV14" s="85"/>
      <c r="DW14" s="85"/>
      <c r="DX14" s="85"/>
      <c r="DY14" s="85"/>
      <c r="DZ14" s="85"/>
      <c r="EA14" s="85"/>
      <c r="EB14" s="85"/>
      <c r="EC14" s="85"/>
      <c r="ED14" s="85"/>
      <c r="EE14" s="85"/>
      <c r="EF14" s="85"/>
      <c r="EG14" s="85"/>
      <c r="EH14" s="85"/>
      <c r="EI14" s="85">
        <v>532</v>
      </c>
      <c r="EJ14" s="85"/>
      <c r="EK14" s="85"/>
      <c r="EL14" s="85"/>
      <c r="EM14" s="85"/>
      <c r="EN14" s="85"/>
      <c r="EO14" s="85"/>
      <c r="EP14" s="85"/>
      <c r="EQ14" s="85"/>
      <c r="ER14" s="85"/>
      <c r="ES14" s="85"/>
      <c r="ET14" s="85"/>
      <c r="EU14" s="85"/>
      <c r="EV14" s="85">
        <v>396</v>
      </c>
      <c r="EW14" s="85"/>
      <c r="EX14" s="85"/>
      <c r="EY14" s="85"/>
      <c r="EZ14" s="85"/>
      <c r="FA14" s="85"/>
      <c r="FB14" s="85"/>
      <c r="FC14" s="85"/>
      <c r="FD14" s="85"/>
      <c r="FE14" s="85"/>
      <c r="FF14" s="85"/>
      <c r="FG14" s="85"/>
      <c r="FH14" s="85"/>
      <c r="FI14" s="85"/>
      <c r="FJ14" s="85"/>
      <c r="FK14" s="85"/>
      <c r="FL14" s="85"/>
      <c r="FM14" s="85"/>
      <c r="FN14" s="85"/>
      <c r="FO14" s="85"/>
      <c r="FP14" s="85"/>
      <c r="FQ14" s="85"/>
      <c r="FR14" s="85"/>
      <c r="FS14" s="85"/>
      <c r="FT14" s="85"/>
      <c r="FU14" s="85"/>
      <c r="FV14" s="85"/>
      <c r="FW14" s="85"/>
      <c r="FX14" s="85"/>
      <c r="FY14" s="85"/>
      <c r="FZ14" s="85"/>
      <c r="GA14" s="85"/>
      <c r="GB14" s="85"/>
      <c r="GC14" s="85"/>
      <c r="GD14" s="85">
        <v>469</v>
      </c>
      <c r="GE14" s="85"/>
      <c r="GF14" s="85"/>
      <c r="GG14" s="85"/>
      <c r="GH14" s="85"/>
      <c r="GI14" s="85"/>
      <c r="GJ14" s="85"/>
      <c r="GK14" s="85"/>
      <c r="GL14" s="85"/>
      <c r="GM14" s="85"/>
      <c r="GN14" s="85"/>
      <c r="GO14" s="85"/>
      <c r="GP14" s="85"/>
      <c r="GQ14" s="85"/>
      <c r="GR14" s="85"/>
      <c r="GS14" s="85"/>
      <c r="GT14" s="85"/>
      <c r="GU14" s="85"/>
      <c r="GV14" s="85"/>
      <c r="GW14" s="85"/>
      <c r="GX14" s="85">
        <v>283</v>
      </c>
      <c r="GY14" s="85"/>
      <c r="GZ14" s="85"/>
      <c r="HA14" s="85"/>
      <c r="HB14" s="85"/>
      <c r="HC14" s="85"/>
      <c r="HD14" s="85"/>
      <c r="HE14" s="85"/>
      <c r="HF14" s="85"/>
      <c r="HG14" s="85"/>
      <c r="HH14" s="85"/>
      <c r="HI14" s="85"/>
      <c r="HJ14" s="85"/>
      <c r="HK14" s="85"/>
      <c r="HL14" s="85">
        <v>87</v>
      </c>
      <c r="HM14" s="85"/>
      <c r="HN14" s="85"/>
      <c r="HO14" s="85"/>
      <c r="HP14" s="85"/>
      <c r="HQ14" s="85"/>
      <c r="HR14" s="85"/>
      <c r="HS14" s="85"/>
      <c r="HT14" s="85"/>
      <c r="HU14" s="85"/>
      <c r="HV14" s="85"/>
      <c r="HW14" s="85">
        <v>251</v>
      </c>
      <c r="HX14" s="85"/>
      <c r="HY14" s="85"/>
      <c r="HZ14" s="85"/>
      <c r="IA14" s="85"/>
      <c r="IB14" s="85">
        <v>657</v>
      </c>
      <c r="IC14" s="85"/>
      <c r="ID14" s="85"/>
      <c r="IE14" s="85"/>
      <c r="IF14" s="85"/>
      <c r="IG14" s="85"/>
      <c r="IH14" s="85"/>
      <c r="II14" s="85"/>
      <c r="IJ14" s="85"/>
      <c r="IK14" s="85">
        <v>135</v>
      </c>
      <c r="IL14" s="85"/>
      <c r="IM14" s="85"/>
      <c r="IN14" s="85">
        <v>142</v>
      </c>
      <c r="IO14" s="85"/>
      <c r="IP14" s="85"/>
      <c r="IQ14" s="85">
        <v>343</v>
      </c>
      <c r="IR14" s="85"/>
      <c r="IS14" s="85"/>
      <c r="IT14" s="85"/>
      <c r="IU14" s="85"/>
      <c r="IV14" s="85"/>
      <c r="IW14" s="85">
        <v>670</v>
      </c>
      <c r="IX14" s="85"/>
      <c r="IY14" s="85"/>
      <c r="IZ14" s="85"/>
      <c r="JA14" s="85"/>
      <c r="JB14" s="85"/>
      <c r="JC14" s="85"/>
      <c r="JD14" s="85"/>
      <c r="JE14" s="85"/>
      <c r="JF14" s="85"/>
      <c r="JG14" s="85"/>
      <c r="JH14" s="85"/>
      <c r="JI14" s="85"/>
      <c r="JJ14" s="85"/>
      <c r="JK14" s="85"/>
      <c r="JL14" s="85"/>
      <c r="JM14" s="85"/>
      <c r="JN14" s="85"/>
      <c r="JO14" s="85"/>
      <c r="JP14" s="85"/>
      <c r="JQ14" s="85">
        <v>829</v>
      </c>
      <c r="JR14" s="85"/>
      <c r="JS14" s="85"/>
      <c r="JT14" s="85"/>
      <c r="JU14" s="85"/>
      <c r="JV14" s="85"/>
      <c r="JW14" s="85"/>
      <c r="JX14" s="85"/>
      <c r="JY14" s="85"/>
      <c r="JZ14" s="85"/>
      <c r="KA14" s="85">
        <v>533</v>
      </c>
      <c r="KB14" s="85">
        <v>0</v>
      </c>
      <c r="KC14" s="85"/>
      <c r="KD14" s="85"/>
      <c r="KE14" s="85"/>
      <c r="KF14" s="85"/>
      <c r="KG14" s="85"/>
      <c r="KH14" s="85"/>
      <c r="KI14" s="85"/>
      <c r="KJ14" s="85"/>
      <c r="KK14" s="85"/>
      <c r="KL14" s="85"/>
      <c r="KM14" s="85"/>
      <c r="KN14" s="85"/>
      <c r="KO14" s="85"/>
      <c r="KP14" s="85"/>
      <c r="KQ14" s="85"/>
      <c r="KR14" s="85"/>
      <c r="KS14" s="85"/>
      <c r="KT14" s="85"/>
      <c r="KU14" s="85">
        <v>291</v>
      </c>
      <c r="KV14" s="85"/>
      <c r="KW14" s="85"/>
      <c r="KX14" s="85"/>
      <c r="KY14" s="85"/>
      <c r="KZ14" s="85">
        <v>51</v>
      </c>
      <c r="LA14" s="85"/>
      <c r="LB14" s="85"/>
      <c r="LC14" s="85"/>
      <c r="LD14" s="85"/>
      <c r="LE14" s="85"/>
      <c r="LF14" s="85"/>
      <c r="LG14" s="85"/>
      <c r="LH14" s="85"/>
      <c r="LI14" s="85"/>
      <c r="LJ14" s="85"/>
      <c r="LK14" s="85"/>
      <c r="LL14" s="85"/>
      <c r="LM14" s="85"/>
      <c r="LN14" s="85">
        <v>636</v>
      </c>
      <c r="LO14" s="85"/>
      <c r="LP14" s="85"/>
      <c r="LQ14" s="85"/>
      <c r="LR14" s="85"/>
      <c r="LS14" s="85"/>
      <c r="LT14" s="85">
        <v>0</v>
      </c>
      <c r="LU14" s="85">
        <v>1052</v>
      </c>
      <c r="LV14" s="85"/>
      <c r="LW14" s="85"/>
      <c r="LX14" s="85"/>
      <c r="LY14" s="85"/>
      <c r="LZ14" s="85"/>
      <c r="MA14" s="85"/>
      <c r="MB14" s="85"/>
      <c r="MC14" s="85"/>
      <c r="MD14" s="85"/>
      <c r="ME14" s="85"/>
      <c r="MF14" s="85"/>
      <c r="MG14" s="85"/>
      <c r="MH14" s="85"/>
      <c r="MI14" s="85">
        <v>422</v>
      </c>
      <c r="MJ14" s="85"/>
      <c r="MK14" s="85"/>
      <c r="ML14" s="85"/>
      <c r="MM14" s="85"/>
      <c r="MN14" s="85"/>
      <c r="MO14" s="96"/>
      <c r="MP14" s="85">
        <v>823</v>
      </c>
      <c r="MQ14" s="85"/>
      <c r="MR14" s="85"/>
      <c r="MS14" s="85"/>
      <c r="MT14" s="85"/>
      <c r="MU14" s="85"/>
      <c r="MV14" s="85"/>
      <c r="MW14" s="85"/>
      <c r="MX14" s="85"/>
      <c r="MY14" s="85">
        <v>382</v>
      </c>
      <c r="MZ14" s="85"/>
      <c r="NA14" s="85"/>
      <c r="NB14" s="85"/>
      <c r="NC14" s="85"/>
      <c r="ND14" s="85">
        <v>193</v>
      </c>
      <c r="NE14" s="85">
        <v>124</v>
      </c>
      <c r="NF14" s="85"/>
      <c r="NG14" s="85"/>
      <c r="NH14" s="85"/>
      <c r="NI14" s="85"/>
    </row>
    <row r="15" spans="1:1067" x14ac:dyDescent="0.2">
      <c r="A15" s="23" t="s">
        <v>6</v>
      </c>
      <c r="B15" s="86"/>
      <c r="C15" s="87"/>
      <c r="D15" s="87"/>
      <c r="E15" s="87"/>
      <c r="F15" s="87"/>
      <c r="G15" s="87"/>
      <c r="H15" s="87"/>
      <c r="I15" s="87"/>
      <c r="J15" s="87"/>
      <c r="K15" s="87"/>
      <c r="L15" s="87">
        <v>29</v>
      </c>
      <c r="M15" s="87"/>
      <c r="N15" s="87">
        <v>20</v>
      </c>
      <c r="O15" s="87"/>
      <c r="P15" s="87"/>
      <c r="Q15" s="87"/>
      <c r="R15" s="87">
        <v>25</v>
      </c>
      <c r="S15" s="87"/>
      <c r="T15" s="87"/>
      <c r="U15" s="87"/>
      <c r="V15" s="87"/>
      <c r="W15" s="87"/>
      <c r="X15" s="156">
        <v>59</v>
      </c>
      <c r="Y15" s="87"/>
      <c r="Z15" s="87"/>
      <c r="AA15" s="87"/>
      <c r="AB15" s="87"/>
      <c r="AC15" s="87"/>
      <c r="AD15" s="87"/>
      <c r="AE15" s="87"/>
      <c r="AF15" s="87"/>
      <c r="AG15" s="87">
        <v>60</v>
      </c>
      <c r="AH15" s="87"/>
      <c r="AI15" s="87"/>
      <c r="AJ15" s="87"/>
      <c r="AK15" s="87"/>
      <c r="AL15" s="87"/>
      <c r="AM15" s="87">
        <v>55</v>
      </c>
      <c r="AN15" s="87">
        <v>25</v>
      </c>
      <c r="AO15" s="87"/>
      <c r="AP15" s="87"/>
      <c r="AQ15" s="87"/>
      <c r="AR15" s="87"/>
      <c r="AS15" s="87"/>
      <c r="AT15" s="87"/>
      <c r="AU15" s="87">
        <v>20</v>
      </c>
      <c r="AV15" s="87">
        <v>42</v>
      </c>
      <c r="AW15" s="87"/>
      <c r="AX15" s="87"/>
      <c r="AY15" s="87"/>
      <c r="AZ15" s="87">
        <v>55</v>
      </c>
      <c r="BA15" s="87"/>
      <c r="BB15" s="87"/>
      <c r="BC15" s="87">
        <v>78</v>
      </c>
      <c r="BD15" s="87"/>
      <c r="BE15" s="87"/>
      <c r="BF15" s="87"/>
      <c r="BG15" s="87"/>
      <c r="BH15" s="87">
        <v>39</v>
      </c>
      <c r="BI15" s="87"/>
      <c r="BJ15" s="87">
        <v>39</v>
      </c>
      <c r="BK15" s="87">
        <v>52</v>
      </c>
      <c r="BL15" s="87"/>
      <c r="BM15" s="87"/>
      <c r="BN15" s="87"/>
      <c r="BO15" s="87">
        <v>70</v>
      </c>
      <c r="BP15" s="87">
        <v>63</v>
      </c>
      <c r="BQ15" s="87">
        <v>81</v>
      </c>
      <c r="BR15" s="87"/>
      <c r="BS15" s="87"/>
      <c r="BT15" s="87"/>
      <c r="BU15" s="87">
        <v>101</v>
      </c>
      <c r="BV15" s="87"/>
      <c r="BW15" s="87">
        <v>50</v>
      </c>
      <c r="BX15" s="87"/>
      <c r="BY15" s="87"/>
      <c r="BZ15" s="87"/>
      <c r="CA15" s="87"/>
      <c r="CB15" s="87"/>
      <c r="CC15" s="87"/>
      <c r="CD15" s="87"/>
      <c r="CE15" s="87"/>
      <c r="CF15" s="87">
        <v>97</v>
      </c>
      <c r="CG15" s="87"/>
      <c r="CH15" s="87"/>
      <c r="CI15" s="87"/>
      <c r="CJ15" s="87"/>
      <c r="CK15" s="87"/>
      <c r="CL15" s="87"/>
      <c r="CM15" s="87"/>
      <c r="CN15" s="87"/>
      <c r="CO15" s="87"/>
      <c r="CP15" s="87">
        <v>41</v>
      </c>
      <c r="CQ15" s="87">
        <v>76</v>
      </c>
      <c r="CR15" s="87"/>
      <c r="CS15" s="87"/>
      <c r="CT15" s="87"/>
      <c r="CU15" s="87"/>
      <c r="CV15" s="87"/>
      <c r="CW15" s="87"/>
      <c r="CX15" s="87"/>
      <c r="CY15" s="87"/>
      <c r="CZ15" s="87"/>
      <c r="DA15" s="87"/>
      <c r="DB15" s="87"/>
      <c r="DC15" s="87"/>
      <c r="DD15" s="87"/>
      <c r="DE15" s="87"/>
      <c r="DF15" s="87"/>
      <c r="DG15" s="87">
        <v>60</v>
      </c>
      <c r="DH15" s="87"/>
      <c r="DI15" s="87"/>
      <c r="DJ15" s="87"/>
      <c r="DK15" s="87"/>
      <c r="DL15" s="87"/>
      <c r="DM15" s="87"/>
      <c r="DN15" s="87"/>
      <c r="DO15" s="87">
        <v>20</v>
      </c>
      <c r="DP15" s="87"/>
      <c r="DQ15" s="87"/>
      <c r="DR15" s="87"/>
      <c r="DS15" s="87"/>
      <c r="DT15" s="87"/>
      <c r="DU15" s="87"/>
      <c r="DV15" s="87"/>
      <c r="DW15" s="87"/>
      <c r="DX15" s="87"/>
      <c r="DY15" s="87"/>
      <c r="DZ15" s="87"/>
      <c r="EA15" s="87">
        <v>100</v>
      </c>
      <c r="EB15" s="87"/>
      <c r="EC15" s="87"/>
      <c r="ED15" s="87"/>
      <c r="EE15" s="87"/>
      <c r="EF15" s="87"/>
      <c r="EG15" s="87"/>
      <c r="EH15" s="87"/>
      <c r="EI15" s="87"/>
      <c r="EJ15" s="87"/>
      <c r="EK15" s="87"/>
      <c r="EL15" s="87"/>
      <c r="EM15" s="87"/>
      <c r="EN15" s="87"/>
      <c r="EO15" s="87"/>
      <c r="EP15" s="87"/>
      <c r="EQ15" s="87"/>
      <c r="ER15" s="87"/>
      <c r="ES15" s="87"/>
      <c r="ET15" s="87"/>
      <c r="EU15" s="87">
        <v>86</v>
      </c>
      <c r="EV15" s="87"/>
      <c r="EW15" s="87"/>
      <c r="EX15" s="87">
        <v>71</v>
      </c>
      <c r="EY15" s="87"/>
      <c r="EZ15" s="87"/>
      <c r="FA15" s="87"/>
      <c r="FB15" s="87"/>
      <c r="FC15" s="87"/>
      <c r="FD15" s="87"/>
      <c r="FE15" s="87"/>
      <c r="FF15" s="87"/>
      <c r="FG15" s="87"/>
      <c r="FH15" s="87"/>
      <c r="FI15" s="87"/>
      <c r="FJ15" s="87"/>
      <c r="FK15" s="87"/>
      <c r="FL15" s="87"/>
      <c r="FM15" s="87"/>
      <c r="FN15" s="87"/>
      <c r="FO15" s="87"/>
      <c r="FP15" s="87"/>
      <c r="FQ15" s="87"/>
      <c r="FR15" s="87"/>
      <c r="FS15" s="87"/>
      <c r="FT15" s="87"/>
      <c r="FU15" s="87"/>
      <c r="FV15" s="87"/>
      <c r="FW15" s="87"/>
      <c r="FX15" s="87"/>
      <c r="FY15" s="87"/>
      <c r="FZ15" s="87"/>
      <c r="GA15" s="87"/>
      <c r="GB15" s="87"/>
      <c r="GC15" s="87"/>
      <c r="GD15" s="87"/>
      <c r="GE15" s="87"/>
      <c r="GF15" s="87"/>
      <c r="GG15" s="87"/>
      <c r="GH15" s="87"/>
      <c r="GI15" s="87"/>
      <c r="GJ15" s="87"/>
      <c r="GK15" s="87"/>
      <c r="GL15" s="87"/>
      <c r="GM15" s="87"/>
      <c r="GN15" s="87"/>
      <c r="GO15" s="87"/>
      <c r="GP15" s="87"/>
      <c r="GQ15" s="87"/>
      <c r="GR15" s="87"/>
      <c r="GS15" s="87"/>
      <c r="GT15" s="87"/>
      <c r="GU15" s="87"/>
      <c r="GV15" s="87"/>
      <c r="GW15" s="87"/>
      <c r="GX15" s="87"/>
      <c r="GY15" s="87"/>
      <c r="GZ15" s="87"/>
      <c r="HA15" s="87"/>
      <c r="HB15" s="87"/>
      <c r="HC15" s="87"/>
      <c r="HD15" s="87"/>
      <c r="HE15" s="87"/>
      <c r="HF15" s="87"/>
      <c r="HG15" s="87"/>
      <c r="HH15" s="87"/>
      <c r="HI15" s="87"/>
      <c r="HJ15" s="87"/>
      <c r="HK15" s="87"/>
      <c r="HL15" s="87"/>
      <c r="HM15" s="87"/>
      <c r="HN15" s="87">
        <v>44</v>
      </c>
      <c r="HO15" s="87"/>
      <c r="HP15" s="87">
        <v>47</v>
      </c>
      <c r="HQ15" s="87"/>
      <c r="HR15" s="87"/>
      <c r="HS15" s="87"/>
      <c r="HT15" s="87"/>
      <c r="HU15" s="87"/>
      <c r="HV15" s="87"/>
      <c r="HW15" s="87"/>
      <c r="HX15" s="87"/>
      <c r="HY15" s="87"/>
      <c r="HZ15" s="87"/>
      <c r="IA15" s="87"/>
      <c r="IB15" s="87"/>
      <c r="IC15" s="87"/>
      <c r="ID15" s="87"/>
      <c r="IE15" s="87"/>
      <c r="IF15" s="87"/>
      <c r="IG15" s="87"/>
      <c r="IH15" s="87"/>
      <c r="II15" s="87"/>
      <c r="IJ15" s="87"/>
      <c r="IK15" s="87"/>
      <c r="IL15" s="87"/>
      <c r="IM15" s="87"/>
      <c r="IN15" s="87"/>
      <c r="IO15" s="87"/>
      <c r="IP15" s="87"/>
      <c r="IQ15" s="87"/>
      <c r="IR15" s="87"/>
      <c r="IS15" s="87"/>
      <c r="IT15" s="87"/>
      <c r="IU15" s="87"/>
      <c r="IV15" s="87"/>
      <c r="IW15" s="87"/>
      <c r="IX15" s="87">
        <v>152</v>
      </c>
      <c r="IY15" s="87"/>
      <c r="IZ15" s="87"/>
      <c r="JA15" s="87"/>
      <c r="JB15" s="87"/>
      <c r="JC15" s="87"/>
      <c r="JD15" s="87"/>
      <c r="JE15" s="87"/>
      <c r="JF15" s="87"/>
      <c r="JG15" s="87"/>
      <c r="JH15" s="87"/>
      <c r="JI15" s="87"/>
      <c r="JJ15" s="87"/>
      <c r="JK15" s="87"/>
      <c r="JL15" s="87"/>
      <c r="JM15" s="87"/>
      <c r="JN15" s="87"/>
      <c r="JO15" s="87"/>
      <c r="JP15" s="87"/>
      <c r="JQ15" s="87"/>
      <c r="JR15" s="87">
        <v>146</v>
      </c>
      <c r="JS15" s="87"/>
      <c r="JT15" s="87"/>
      <c r="JU15" s="87"/>
      <c r="JV15" s="87"/>
      <c r="JW15" s="87"/>
      <c r="JX15" s="87"/>
      <c r="JY15" s="87"/>
      <c r="JZ15" s="87"/>
      <c r="KA15" s="87">
        <v>70</v>
      </c>
      <c r="KB15" s="87"/>
      <c r="KC15" s="87"/>
      <c r="KD15" s="87"/>
      <c r="KE15" s="87"/>
      <c r="KF15" s="87"/>
      <c r="KG15" s="87"/>
      <c r="KH15" s="87"/>
      <c r="KI15" s="87"/>
      <c r="KJ15" s="87"/>
      <c r="KK15" s="87"/>
      <c r="KL15" s="87"/>
      <c r="KM15" s="87">
        <v>46</v>
      </c>
      <c r="KN15" s="87"/>
      <c r="KO15" s="87"/>
      <c r="KP15" s="87"/>
      <c r="KQ15" s="87"/>
      <c r="KR15" s="87">
        <v>45</v>
      </c>
      <c r="KS15" s="87"/>
      <c r="KT15" s="87">
        <v>174</v>
      </c>
      <c r="KU15" s="87"/>
      <c r="KV15" s="87"/>
      <c r="KW15" s="87"/>
      <c r="KX15" s="87"/>
      <c r="KY15" s="87"/>
      <c r="KZ15" s="87"/>
      <c r="LA15" s="87"/>
      <c r="LB15" s="87"/>
      <c r="LC15" s="87"/>
      <c r="LD15" s="87"/>
      <c r="LE15" s="87"/>
      <c r="LF15" s="87"/>
      <c r="LG15" s="87"/>
      <c r="LH15" s="87"/>
      <c r="LI15" s="87"/>
      <c r="LJ15" s="87">
        <v>46</v>
      </c>
      <c r="LK15" s="87"/>
      <c r="LL15" s="87"/>
      <c r="LM15" s="87"/>
      <c r="LN15" s="87"/>
      <c r="LO15" s="87"/>
      <c r="LP15" s="87"/>
      <c r="LQ15" s="87"/>
      <c r="LR15" s="87"/>
      <c r="LS15" s="87"/>
      <c r="LT15" s="87">
        <v>70</v>
      </c>
      <c r="LU15" s="87"/>
      <c r="LV15" s="87">
        <v>70</v>
      </c>
      <c r="LW15" s="87"/>
      <c r="LX15" s="87"/>
      <c r="LY15" s="87"/>
      <c r="LZ15" s="87"/>
      <c r="MA15" s="87"/>
      <c r="MB15" s="87">
        <v>155</v>
      </c>
      <c r="MC15" s="87"/>
      <c r="MD15" s="87">
        <v>85</v>
      </c>
      <c r="ME15" s="87"/>
      <c r="MF15" s="87"/>
      <c r="MG15" s="87"/>
      <c r="MH15" s="87"/>
      <c r="MI15" s="87"/>
      <c r="MJ15" s="87"/>
      <c r="MK15" s="87"/>
      <c r="ML15" s="87"/>
      <c r="MM15" s="87"/>
      <c r="MN15" s="87"/>
      <c r="MO15" s="87"/>
      <c r="MP15" s="87"/>
      <c r="MQ15" s="87"/>
      <c r="MR15" s="87">
        <v>76</v>
      </c>
      <c r="MS15" s="87">
        <v>55</v>
      </c>
      <c r="MT15" s="87"/>
      <c r="MU15" s="87"/>
      <c r="MV15" s="87"/>
      <c r="MW15" s="87"/>
      <c r="MX15" s="87"/>
      <c r="MY15" s="87"/>
      <c r="MZ15" s="87"/>
      <c r="NA15" s="87"/>
      <c r="NB15" s="87"/>
      <c r="NC15" s="87"/>
      <c r="ND15" s="87"/>
      <c r="NE15" s="87"/>
      <c r="NF15" s="87"/>
      <c r="NG15" s="87"/>
      <c r="NH15" s="87"/>
      <c r="NI15" s="87"/>
    </row>
    <row r="16" spans="1:1067" x14ac:dyDescent="0.2">
      <c r="A16" s="21" t="s">
        <v>7</v>
      </c>
      <c r="B16" s="79"/>
      <c r="C16" s="80"/>
      <c r="D16" s="80"/>
      <c r="E16" s="80"/>
      <c r="F16" s="80"/>
      <c r="G16" s="80"/>
      <c r="H16" s="80"/>
      <c r="I16" s="80"/>
      <c r="J16" s="80"/>
      <c r="K16" s="80">
        <v>76</v>
      </c>
      <c r="L16" s="80">
        <v>19</v>
      </c>
      <c r="M16" s="80">
        <v>159</v>
      </c>
      <c r="N16" s="80">
        <v>84</v>
      </c>
      <c r="O16" s="80"/>
      <c r="P16" s="80"/>
      <c r="Q16" s="80"/>
      <c r="R16" s="80">
        <v>115</v>
      </c>
      <c r="S16" s="80">
        <v>91</v>
      </c>
      <c r="T16" s="80"/>
      <c r="U16" s="80">
        <v>92</v>
      </c>
      <c r="V16" s="80"/>
      <c r="W16" s="80"/>
      <c r="X16" s="80"/>
      <c r="Y16" s="80">
        <v>83</v>
      </c>
      <c r="Z16" s="80">
        <v>171</v>
      </c>
      <c r="AA16" s="80"/>
      <c r="AB16" s="80">
        <v>22</v>
      </c>
      <c r="AC16" s="80"/>
      <c r="AD16" s="80"/>
      <c r="AE16" s="80"/>
      <c r="AF16" s="80">
        <v>122</v>
      </c>
      <c r="AG16" s="80"/>
      <c r="AH16" s="80">
        <v>111</v>
      </c>
      <c r="AI16" s="80"/>
      <c r="AJ16" s="80"/>
      <c r="AK16" s="80"/>
      <c r="AL16" s="80"/>
      <c r="AM16" s="80">
        <v>128</v>
      </c>
      <c r="AN16" s="80">
        <v>105</v>
      </c>
      <c r="AO16" s="80"/>
      <c r="AP16" s="80">
        <v>78</v>
      </c>
      <c r="AQ16" s="80"/>
      <c r="AR16" s="80"/>
      <c r="AS16" s="80"/>
      <c r="AT16" s="80">
        <v>126</v>
      </c>
      <c r="AU16" s="80">
        <v>123</v>
      </c>
      <c r="AV16" s="80">
        <v>108</v>
      </c>
      <c r="AW16" s="80">
        <v>62</v>
      </c>
      <c r="AX16" s="80"/>
      <c r="AY16" s="80"/>
      <c r="AZ16" s="80"/>
      <c r="BA16" s="80">
        <v>112</v>
      </c>
      <c r="BB16" s="80">
        <v>164</v>
      </c>
      <c r="BC16" s="80"/>
      <c r="BD16" s="80"/>
      <c r="BE16" s="80"/>
      <c r="BF16" s="80"/>
      <c r="BG16" s="80"/>
      <c r="BH16" s="80">
        <v>35</v>
      </c>
      <c r="BI16" s="80">
        <v>118</v>
      </c>
      <c r="BJ16" s="80">
        <v>52</v>
      </c>
      <c r="BK16" s="80">
        <v>36</v>
      </c>
      <c r="BL16" s="80"/>
      <c r="BM16" s="80"/>
      <c r="BN16" s="80"/>
      <c r="BO16" s="80">
        <v>117</v>
      </c>
      <c r="BP16" s="80">
        <v>90</v>
      </c>
      <c r="BQ16" s="80"/>
      <c r="BR16" s="80">
        <v>145</v>
      </c>
      <c r="BS16" s="80"/>
      <c r="BT16" s="80"/>
      <c r="BU16" s="80">
        <v>98</v>
      </c>
      <c r="BV16" s="80">
        <v>101</v>
      </c>
      <c r="BW16" s="80">
        <v>136</v>
      </c>
      <c r="BX16" s="80"/>
      <c r="BY16" s="80">
        <v>153</v>
      </c>
      <c r="BZ16" s="80"/>
      <c r="CA16" s="80"/>
      <c r="CB16" s="80"/>
      <c r="CC16" s="80">
        <v>154</v>
      </c>
      <c r="CD16" s="80">
        <v>152</v>
      </c>
      <c r="CE16" s="80"/>
      <c r="CF16" s="80">
        <v>39</v>
      </c>
      <c r="CG16" s="80"/>
      <c r="CH16" s="80"/>
      <c r="CI16" s="80"/>
      <c r="CJ16" s="80">
        <v>110</v>
      </c>
      <c r="CK16" s="80">
        <v>194</v>
      </c>
      <c r="CL16" s="80">
        <v>66</v>
      </c>
      <c r="CM16" s="80"/>
      <c r="CN16" s="80"/>
      <c r="CO16" s="80"/>
      <c r="CP16" s="80">
        <v>99</v>
      </c>
      <c r="CQ16" s="80">
        <v>90</v>
      </c>
      <c r="CR16" s="80">
        <v>222</v>
      </c>
      <c r="CS16" s="80">
        <v>89</v>
      </c>
      <c r="CT16" s="80"/>
      <c r="CU16" s="80"/>
      <c r="CV16" s="80"/>
      <c r="CW16" s="80"/>
      <c r="CX16" s="80">
        <v>103</v>
      </c>
      <c r="CY16" s="80">
        <v>141</v>
      </c>
      <c r="CZ16" s="80">
        <v>140</v>
      </c>
      <c r="DA16" s="80">
        <v>154</v>
      </c>
      <c r="DB16" s="80"/>
      <c r="DC16" s="80"/>
      <c r="DD16" s="80"/>
      <c r="DE16" s="80">
        <v>227</v>
      </c>
      <c r="DF16" s="80">
        <v>133</v>
      </c>
      <c r="DG16" s="80"/>
      <c r="DH16" s="80"/>
      <c r="DI16" s="80"/>
      <c r="DJ16" s="80"/>
      <c r="DK16" s="80"/>
      <c r="DL16" s="80">
        <v>131</v>
      </c>
      <c r="DM16" s="80">
        <v>104</v>
      </c>
      <c r="DN16" s="80"/>
      <c r="DO16" s="80"/>
      <c r="DP16" s="80"/>
      <c r="DQ16" s="80"/>
      <c r="DR16" s="80"/>
      <c r="DS16" s="80"/>
      <c r="DT16" s="80">
        <v>131</v>
      </c>
      <c r="DU16" s="80">
        <v>45</v>
      </c>
      <c r="DV16" s="80">
        <v>53</v>
      </c>
      <c r="DW16" s="80"/>
      <c r="DX16" s="80"/>
      <c r="DY16" s="80"/>
      <c r="DZ16" s="80">
        <v>76</v>
      </c>
      <c r="EA16" s="80"/>
      <c r="EB16" s="80">
        <v>56</v>
      </c>
      <c r="EC16" s="80"/>
      <c r="ED16" s="80"/>
      <c r="EE16" s="80"/>
      <c r="EF16" s="80"/>
      <c r="EG16" s="80">
        <v>89</v>
      </c>
      <c r="EH16" s="80">
        <v>49</v>
      </c>
      <c r="EI16" s="80"/>
      <c r="EJ16" s="80">
        <v>68</v>
      </c>
      <c r="EK16" s="80"/>
      <c r="EL16" s="80"/>
      <c r="EM16" s="80"/>
      <c r="EN16" s="80">
        <v>41</v>
      </c>
      <c r="EO16" s="80"/>
      <c r="EP16" s="80">
        <v>81</v>
      </c>
      <c r="EQ16" s="80"/>
      <c r="ER16" s="80"/>
      <c r="ES16" s="80"/>
      <c r="ET16" s="80"/>
      <c r="EU16" s="80">
        <v>23</v>
      </c>
      <c r="EV16" s="80"/>
      <c r="EW16" s="80"/>
      <c r="EX16" s="80">
        <v>20</v>
      </c>
      <c r="EY16" s="80"/>
      <c r="EZ16" s="80"/>
      <c r="FA16" s="80"/>
      <c r="FB16" s="80">
        <v>75</v>
      </c>
      <c r="FC16" s="80">
        <v>100</v>
      </c>
      <c r="FD16" s="80">
        <v>93</v>
      </c>
      <c r="FE16" s="80">
        <v>89</v>
      </c>
      <c r="FF16" s="80"/>
      <c r="FG16" s="80"/>
      <c r="FH16" s="80"/>
      <c r="FI16" s="80">
        <v>121</v>
      </c>
      <c r="FJ16" s="80">
        <v>57</v>
      </c>
      <c r="FK16" s="80"/>
      <c r="FL16" s="80">
        <v>101</v>
      </c>
      <c r="FM16" s="80"/>
      <c r="FN16" s="80"/>
      <c r="FO16" s="80">
        <v>86</v>
      </c>
      <c r="FP16" s="80">
        <v>77</v>
      </c>
      <c r="FQ16" s="80">
        <v>20</v>
      </c>
      <c r="FR16" s="80">
        <v>100</v>
      </c>
      <c r="FS16" s="80">
        <v>84</v>
      </c>
      <c r="FT16" s="80"/>
      <c r="FU16" s="80"/>
      <c r="FV16" s="80"/>
      <c r="FW16" s="80"/>
      <c r="FX16" s="80">
        <v>140</v>
      </c>
      <c r="FY16" s="80">
        <v>118</v>
      </c>
      <c r="FZ16" s="80">
        <v>143</v>
      </c>
      <c r="GA16" s="80"/>
      <c r="GB16" s="80"/>
      <c r="GC16" s="80"/>
      <c r="GD16" s="80"/>
      <c r="GE16" s="80">
        <v>97</v>
      </c>
      <c r="GF16" s="80">
        <v>137</v>
      </c>
      <c r="GG16" s="80">
        <v>84</v>
      </c>
      <c r="GH16" s="80"/>
      <c r="GI16" s="80"/>
      <c r="GJ16" s="80">
        <v>128</v>
      </c>
      <c r="GK16" s="80">
        <v>121</v>
      </c>
      <c r="GL16" s="80"/>
      <c r="GM16" s="80">
        <v>95</v>
      </c>
      <c r="GN16" s="80">
        <v>60</v>
      </c>
      <c r="GO16" s="80"/>
      <c r="GP16" s="80"/>
      <c r="GQ16" s="80">
        <v>48</v>
      </c>
      <c r="GR16" s="80">
        <v>53</v>
      </c>
      <c r="GS16" s="80"/>
      <c r="GT16" s="80">
        <v>99</v>
      </c>
      <c r="GU16" s="80"/>
      <c r="GV16" s="80"/>
      <c r="GW16" s="80"/>
      <c r="GX16" s="80">
        <v>66</v>
      </c>
      <c r="GY16" s="80">
        <v>65</v>
      </c>
      <c r="GZ16" s="80">
        <v>30</v>
      </c>
      <c r="HA16" s="80">
        <v>74</v>
      </c>
      <c r="HB16" s="80">
        <v>75</v>
      </c>
      <c r="HC16" s="80"/>
      <c r="HD16" s="80"/>
      <c r="HE16" s="80"/>
      <c r="HF16" s="80">
        <v>120</v>
      </c>
      <c r="HG16" s="80">
        <v>118</v>
      </c>
      <c r="HH16" s="80"/>
      <c r="HI16" s="80">
        <v>150</v>
      </c>
      <c r="HJ16" s="80"/>
      <c r="HK16" s="80"/>
      <c r="HL16" s="80"/>
      <c r="HM16" s="80">
        <v>119</v>
      </c>
      <c r="HN16" s="80">
        <v>20</v>
      </c>
      <c r="HO16" s="80">
        <v>161</v>
      </c>
      <c r="HP16" s="80">
        <v>102</v>
      </c>
      <c r="HQ16" s="80"/>
      <c r="HR16" s="80"/>
      <c r="HS16" s="80">
        <v>56</v>
      </c>
      <c r="HT16" s="80">
        <v>185</v>
      </c>
      <c r="HU16" s="80">
        <v>127</v>
      </c>
      <c r="HV16" s="80">
        <v>86</v>
      </c>
      <c r="HW16" s="80">
        <v>97</v>
      </c>
      <c r="HX16" s="80"/>
      <c r="HY16" s="80"/>
      <c r="HZ16" s="80">
        <v>110</v>
      </c>
      <c r="IA16" s="80">
        <v>257</v>
      </c>
      <c r="IB16" s="80">
        <v>86</v>
      </c>
      <c r="IC16" s="80">
        <v>55</v>
      </c>
      <c r="ID16" s="80"/>
      <c r="IE16" s="80"/>
      <c r="IF16" s="80"/>
      <c r="IG16" s="80">
        <v>239</v>
      </c>
      <c r="IH16" s="80"/>
      <c r="II16" s="80">
        <v>360</v>
      </c>
      <c r="IJ16" s="80"/>
      <c r="IK16" s="80">
        <v>121</v>
      </c>
      <c r="IL16" s="80"/>
      <c r="IM16" s="80"/>
      <c r="IN16" s="80">
        <v>35</v>
      </c>
      <c r="IO16" s="80">
        <v>328</v>
      </c>
      <c r="IP16" s="80"/>
      <c r="IQ16" s="80">
        <v>114</v>
      </c>
      <c r="IR16" s="80"/>
      <c r="IS16" s="80"/>
      <c r="IT16" s="80"/>
      <c r="IU16" s="80">
        <v>98</v>
      </c>
      <c r="IV16" s="80"/>
      <c r="IW16" s="80">
        <v>57</v>
      </c>
      <c r="IX16" s="80"/>
      <c r="IY16" s="80">
        <v>137</v>
      </c>
      <c r="IZ16" s="80"/>
      <c r="JA16" s="80"/>
      <c r="JB16" s="80"/>
      <c r="JC16" s="80">
        <v>92</v>
      </c>
      <c r="JD16" s="80">
        <v>224</v>
      </c>
      <c r="JE16" s="80"/>
      <c r="JF16" s="80"/>
      <c r="JG16" s="80"/>
      <c r="JH16" s="80"/>
      <c r="JI16" s="80"/>
      <c r="JJ16" s="80">
        <v>34</v>
      </c>
      <c r="JK16" s="80">
        <v>137</v>
      </c>
      <c r="JL16" s="80">
        <v>0</v>
      </c>
      <c r="JM16" s="80">
        <v>102</v>
      </c>
      <c r="JN16" s="80"/>
      <c r="JO16" s="80"/>
      <c r="JP16" s="80">
        <v>65</v>
      </c>
      <c r="JQ16" s="80">
        <v>39</v>
      </c>
      <c r="JR16" s="80">
        <v>108</v>
      </c>
      <c r="JS16" s="80"/>
      <c r="JT16" s="80">
        <v>144</v>
      </c>
      <c r="JU16" s="80"/>
      <c r="JV16" s="80"/>
      <c r="JW16" s="80"/>
      <c r="JX16" s="80">
        <v>111</v>
      </c>
      <c r="JY16" s="80"/>
      <c r="JZ16" s="80">
        <v>144</v>
      </c>
      <c r="KA16" s="80">
        <v>88</v>
      </c>
      <c r="KB16" s="80"/>
      <c r="KC16" s="80"/>
      <c r="KD16" s="80"/>
      <c r="KE16" s="80"/>
      <c r="KF16" s="80">
        <v>122</v>
      </c>
      <c r="KG16" s="80">
        <v>166</v>
      </c>
      <c r="KH16" s="80">
        <v>126</v>
      </c>
      <c r="KI16" s="80"/>
      <c r="KJ16" s="80"/>
      <c r="KK16" s="80"/>
      <c r="KL16" s="80">
        <v>80</v>
      </c>
      <c r="KM16" s="80">
        <v>110</v>
      </c>
      <c r="KN16" s="80">
        <v>32</v>
      </c>
      <c r="KO16" s="80">
        <v>130</v>
      </c>
      <c r="KP16" s="80"/>
      <c r="KQ16" s="80"/>
      <c r="KR16" s="80">
        <v>67</v>
      </c>
      <c r="KS16" s="80">
        <v>95</v>
      </c>
      <c r="KT16" s="80">
        <v>67</v>
      </c>
      <c r="KU16" s="80">
        <v>113</v>
      </c>
      <c r="KV16" s="80"/>
      <c r="KW16" s="80"/>
      <c r="KX16" s="80"/>
      <c r="KY16" s="80"/>
      <c r="KZ16" s="80"/>
      <c r="LA16" s="80">
        <v>106</v>
      </c>
      <c r="LB16" s="80"/>
      <c r="LC16" s="80">
        <v>121</v>
      </c>
      <c r="LD16" s="80"/>
      <c r="LE16" s="80"/>
      <c r="LF16" s="80">
        <v>52</v>
      </c>
      <c r="LG16" s="80">
        <v>125</v>
      </c>
      <c r="LH16" s="80">
        <v>95</v>
      </c>
      <c r="LI16" s="80">
        <v>126</v>
      </c>
      <c r="LJ16" s="80">
        <v>97</v>
      </c>
      <c r="LK16" s="80"/>
      <c r="LL16" s="80"/>
      <c r="LM16" s="80"/>
      <c r="LN16" s="80">
        <v>138</v>
      </c>
      <c r="LO16" s="80"/>
      <c r="LP16" s="80">
        <v>83</v>
      </c>
      <c r="LQ16" s="80">
        <v>156</v>
      </c>
      <c r="LR16" s="80"/>
      <c r="LS16" s="80"/>
      <c r="LT16" s="80">
        <v>139</v>
      </c>
      <c r="LU16" s="80"/>
      <c r="LV16" s="80">
        <v>148</v>
      </c>
      <c r="LW16" s="80"/>
      <c r="LX16" s="80">
        <v>128</v>
      </c>
      <c r="LY16" s="80"/>
      <c r="LZ16" s="80"/>
      <c r="MA16" s="80"/>
      <c r="MB16" s="80">
        <v>190</v>
      </c>
      <c r="MC16" s="80"/>
      <c r="MD16" s="80">
        <v>159</v>
      </c>
      <c r="ME16" s="80"/>
      <c r="MF16" s="80"/>
      <c r="MG16" s="80"/>
      <c r="MH16" s="80">
        <v>45</v>
      </c>
      <c r="MI16" s="80">
        <v>95</v>
      </c>
      <c r="MJ16" s="80"/>
      <c r="MK16" s="80">
        <v>108</v>
      </c>
      <c r="ML16" s="80">
        <v>89</v>
      </c>
      <c r="MM16" s="80"/>
      <c r="MN16" s="80"/>
      <c r="MO16" s="80"/>
      <c r="MP16" s="80">
        <v>60</v>
      </c>
      <c r="MQ16" s="80">
        <v>41</v>
      </c>
      <c r="MR16" s="80">
        <v>135</v>
      </c>
      <c r="MS16" s="80"/>
      <c r="MT16" s="80"/>
      <c r="MU16" s="80"/>
      <c r="MV16" s="80">
        <v>65</v>
      </c>
      <c r="MW16" s="80">
        <v>72</v>
      </c>
      <c r="MX16" s="80">
        <v>113</v>
      </c>
      <c r="MY16" s="80">
        <v>213</v>
      </c>
      <c r="MZ16" s="80"/>
      <c r="NA16" s="80"/>
      <c r="NB16" s="80"/>
      <c r="NC16" s="80"/>
      <c r="ND16" s="80">
        <v>164</v>
      </c>
      <c r="NE16" s="80"/>
      <c r="NF16" s="80">
        <v>256</v>
      </c>
      <c r="NG16" s="80"/>
      <c r="NH16" s="80"/>
      <c r="NI16" s="80"/>
    </row>
    <row r="17" spans="1:373" x14ac:dyDescent="0.2">
      <c r="A17" s="18" t="s">
        <v>12</v>
      </c>
      <c r="B17" s="81">
        <v>622</v>
      </c>
      <c r="C17" s="82"/>
      <c r="D17" s="82">
        <v>278</v>
      </c>
      <c r="E17" s="82">
        <v>170</v>
      </c>
      <c r="F17" s="82"/>
      <c r="G17" s="82"/>
      <c r="H17" s="82"/>
      <c r="I17" s="82"/>
      <c r="J17" s="82"/>
      <c r="K17" s="82">
        <v>124</v>
      </c>
      <c r="L17" s="82">
        <v>6</v>
      </c>
      <c r="M17" s="82">
        <v>277</v>
      </c>
      <c r="N17" s="82">
        <v>152</v>
      </c>
      <c r="O17" s="82"/>
      <c r="P17" s="82"/>
      <c r="Q17" s="82"/>
      <c r="R17" s="82">
        <v>184</v>
      </c>
      <c r="S17" s="82">
        <v>136</v>
      </c>
      <c r="T17" s="82"/>
      <c r="U17" s="82">
        <v>159</v>
      </c>
      <c r="V17" s="82"/>
      <c r="W17" s="82"/>
      <c r="X17" s="82"/>
      <c r="Y17" s="82">
        <v>149</v>
      </c>
      <c r="Z17" s="82">
        <v>320</v>
      </c>
      <c r="AA17" s="82"/>
      <c r="AB17" s="82">
        <v>86</v>
      </c>
      <c r="AC17" s="82"/>
      <c r="AD17" s="82"/>
      <c r="AE17" s="82"/>
      <c r="AF17" s="82">
        <v>214</v>
      </c>
      <c r="AG17" s="82"/>
      <c r="AH17" s="82">
        <v>200</v>
      </c>
      <c r="AI17" s="82"/>
      <c r="AJ17" s="82"/>
      <c r="AK17" s="82"/>
      <c r="AL17" s="82"/>
      <c r="AM17" s="82">
        <v>242</v>
      </c>
      <c r="AN17" s="82">
        <v>198</v>
      </c>
      <c r="AO17" s="82"/>
      <c r="AP17" s="82">
        <v>144</v>
      </c>
      <c r="AQ17" s="82"/>
      <c r="AR17" s="82"/>
      <c r="AS17" s="82"/>
      <c r="AT17" s="82">
        <v>173</v>
      </c>
      <c r="AU17" s="82">
        <v>140</v>
      </c>
      <c r="AV17" s="82">
        <v>144</v>
      </c>
      <c r="AW17" s="82">
        <v>115</v>
      </c>
      <c r="AX17" s="82"/>
      <c r="AY17" s="82"/>
      <c r="AZ17" s="82"/>
      <c r="BA17" s="82">
        <v>215</v>
      </c>
      <c r="BB17" s="82">
        <v>314</v>
      </c>
      <c r="BC17" s="82"/>
      <c r="BD17" s="82">
        <v>219</v>
      </c>
      <c r="BE17" s="82"/>
      <c r="BF17" s="82"/>
      <c r="BG17" s="82"/>
      <c r="BH17" s="82">
        <v>69</v>
      </c>
      <c r="BI17" s="82">
        <v>224</v>
      </c>
      <c r="BJ17" s="82">
        <v>127</v>
      </c>
      <c r="BK17" s="82">
        <v>57</v>
      </c>
      <c r="BL17" s="82"/>
      <c r="BM17" s="82"/>
      <c r="BN17" s="82"/>
      <c r="BO17" s="82">
        <v>255</v>
      </c>
      <c r="BP17" s="82">
        <v>171</v>
      </c>
      <c r="BQ17" s="82"/>
      <c r="BR17" s="82">
        <v>281</v>
      </c>
      <c r="BS17" s="82"/>
      <c r="BT17" s="82"/>
      <c r="BU17" s="82">
        <v>186</v>
      </c>
      <c r="BV17" s="82">
        <v>192</v>
      </c>
      <c r="BW17" s="82">
        <v>262</v>
      </c>
      <c r="BX17" s="82"/>
      <c r="BY17" s="82">
        <v>295</v>
      </c>
      <c r="BZ17" s="82"/>
      <c r="CA17" s="82"/>
      <c r="CB17" s="82"/>
      <c r="CC17" s="82">
        <v>230</v>
      </c>
      <c r="CD17" s="82">
        <v>255</v>
      </c>
      <c r="CE17" s="82"/>
      <c r="CF17" s="82">
        <v>64</v>
      </c>
      <c r="CG17" s="82"/>
      <c r="CH17" s="82"/>
      <c r="CI17" s="82"/>
      <c r="CJ17" s="82">
        <v>181</v>
      </c>
      <c r="CK17" s="82">
        <v>341</v>
      </c>
      <c r="CL17" s="82">
        <v>110</v>
      </c>
      <c r="CM17" s="82"/>
      <c r="CN17" s="82"/>
      <c r="CO17" s="82"/>
      <c r="CP17" s="82">
        <v>65</v>
      </c>
      <c r="CQ17" s="82">
        <v>148</v>
      </c>
      <c r="CR17" s="82">
        <v>405</v>
      </c>
      <c r="CS17" s="82">
        <v>162</v>
      </c>
      <c r="CT17" s="82"/>
      <c r="CU17" s="82"/>
      <c r="CV17" s="82"/>
      <c r="CW17" s="82"/>
      <c r="CX17" s="82">
        <v>178</v>
      </c>
      <c r="CY17" s="82">
        <v>263</v>
      </c>
      <c r="CZ17" s="82">
        <v>253</v>
      </c>
      <c r="DA17" s="82">
        <v>289</v>
      </c>
      <c r="DB17" s="82"/>
      <c r="DC17" s="82"/>
      <c r="DD17" s="82"/>
      <c r="DE17" s="82">
        <v>318</v>
      </c>
      <c r="DF17" s="82">
        <v>140</v>
      </c>
      <c r="DG17" s="82"/>
      <c r="DH17" s="82"/>
      <c r="DI17" s="82"/>
      <c r="DJ17" s="82"/>
      <c r="DK17" s="82"/>
      <c r="DL17" s="82">
        <v>222</v>
      </c>
      <c r="DM17" s="82">
        <v>162</v>
      </c>
      <c r="DN17" s="82"/>
      <c r="DO17" s="82">
        <v>80</v>
      </c>
      <c r="DP17" s="82"/>
      <c r="DQ17" s="82"/>
      <c r="DR17" s="82"/>
      <c r="DS17" s="82"/>
      <c r="DT17" s="82">
        <v>197</v>
      </c>
      <c r="DU17" s="82">
        <v>79</v>
      </c>
      <c r="DV17" s="82">
        <v>90</v>
      </c>
      <c r="DW17" s="82"/>
      <c r="DX17" s="82"/>
      <c r="DY17" s="82"/>
      <c r="DZ17" s="82">
        <v>130</v>
      </c>
      <c r="EA17" s="82"/>
      <c r="EB17" s="82">
        <v>34</v>
      </c>
      <c r="EC17" s="82"/>
      <c r="ED17" s="82"/>
      <c r="EE17" s="82"/>
      <c r="EF17" s="82"/>
      <c r="EG17" s="82">
        <v>109</v>
      </c>
      <c r="EH17" s="82">
        <v>75</v>
      </c>
      <c r="EI17" s="82"/>
      <c r="EJ17" s="82">
        <v>94</v>
      </c>
      <c r="EK17" s="82"/>
      <c r="EL17" s="82"/>
      <c r="EM17" s="82"/>
      <c r="EN17" s="82">
        <v>61</v>
      </c>
      <c r="EO17" s="82"/>
      <c r="EP17" s="82">
        <v>122</v>
      </c>
      <c r="EQ17" s="82"/>
      <c r="ER17" s="82"/>
      <c r="ES17" s="82"/>
      <c r="ET17" s="82"/>
      <c r="EU17" s="82">
        <v>26</v>
      </c>
      <c r="EV17" s="82"/>
      <c r="EW17" s="82"/>
      <c r="EX17" s="82">
        <v>25</v>
      </c>
      <c r="EY17" s="82"/>
      <c r="EZ17" s="82"/>
      <c r="FA17" s="82"/>
      <c r="FB17" s="82">
        <v>101</v>
      </c>
      <c r="FC17" s="82">
        <v>159</v>
      </c>
      <c r="FD17" s="82">
        <v>151</v>
      </c>
      <c r="FE17" s="82">
        <v>149</v>
      </c>
      <c r="FF17" s="82"/>
      <c r="FG17" s="82"/>
      <c r="FH17" s="82"/>
      <c r="FI17" s="82">
        <v>173</v>
      </c>
      <c r="FJ17" s="82">
        <v>89</v>
      </c>
      <c r="FK17" s="82"/>
      <c r="FL17" s="82">
        <v>172</v>
      </c>
      <c r="FM17" s="82"/>
      <c r="FN17" s="82"/>
      <c r="FO17" s="82">
        <v>152</v>
      </c>
      <c r="FP17" s="82">
        <v>115</v>
      </c>
      <c r="FQ17" s="82">
        <v>19</v>
      </c>
      <c r="FR17" s="82">
        <v>168</v>
      </c>
      <c r="FS17" s="82">
        <v>96</v>
      </c>
      <c r="FT17" s="82"/>
      <c r="FU17" s="82"/>
      <c r="FV17" s="82"/>
      <c r="FW17" s="82"/>
      <c r="FX17" s="82">
        <v>204</v>
      </c>
      <c r="FY17" s="82">
        <v>46</v>
      </c>
      <c r="FZ17" s="82">
        <v>211</v>
      </c>
      <c r="GA17" s="82"/>
      <c r="GB17" s="82"/>
      <c r="GC17" s="82"/>
      <c r="GD17" s="82"/>
      <c r="GE17" s="82">
        <v>178</v>
      </c>
      <c r="GF17" s="82">
        <v>257</v>
      </c>
      <c r="GG17" s="82">
        <v>102</v>
      </c>
      <c r="GH17" s="82"/>
      <c r="GI17" s="82"/>
      <c r="GJ17" s="82">
        <v>217</v>
      </c>
      <c r="GK17" s="82">
        <v>188</v>
      </c>
      <c r="GL17" s="82"/>
      <c r="GM17" s="82">
        <v>137</v>
      </c>
      <c r="GN17" s="82">
        <v>72</v>
      </c>
      <c r="GO17" s="82"/>
      <c r="GP17" s="82"/>
      <c r="GQ17" s="82">
        <v>75</v>
      </c>
      <c r="GR17" s="82">
        <v>95</v>
      </c>
      <c r="GS17" s="82"/>
      <c r="GT17" s="82">
        <v>176</v>
      </c>
      <c r="GU17" s="82"/>
      <c r="GV17" s="82"/>
      <c r="GW17" s="82"/>
      <c r="GX17" s="82">
        <v>115</v>
      </c>
      <c r="GY17" s="82">
        <v>106</v>
      </c>
      <c r="GZ17" s="82">
        <v>50</v>
      </c>
      <c r="HA17" s="82">
        <v>130</v>
      </c>
      <c r="HB17" s="82">
        <v>133</v>
      </c>
      <c r="HC17" s="82"/>
      <c r="HD17" s="82"/>
      <c r="HE17" s="82"/>
      <c r="HF17" s="82">
        <v>224</v>
      </c>
      <c r="HG17" s="82">
        <v>220</v>
      </c>
      <c r="HH17" s="82"/>
      <c r="HI17" s="82">
        <v>268</v>
      </c>
      <c r="HJ17" s="82"/>
      <c r="HK17" s="82"/>
      <c r="HL17" s="82"/>
      <c r="HM17" s="82">
        <v>216</v>
      </c>
      <c r="HN17" s="82"/>
      <c r="HO17" s="82">
        <v>263</v>
      </c>
      <c r="HP17" s="82">
        <v>161</v>
      </c>
      <c r="HQ17" s="82"/>
      <c r="HR17" s="82"/>
      <c r="HS17" s="82">
        <v>96</v>
      </c>
      <c r="HT17" s="82">
        <v>297</v>
      </c>
      <c r="HU17" s="82">
        <v>142</v>
      </c>
      <c r="HV17" s="82">
        <v>144</v>
      </c>
      <c r="HW17" s="82">
        <v>144</v>
      </c>
      <c r="HX17" s="82"/>
      <c r="HY17" s="82"/>
      <c r="HZ17" s="82">
        <v>111</v>
      </c>
      <c r="IA17" s="82">
        <v>289</v>
      </c>
      <c r="IB17" s="82">
        <v>147</v>
      </c>
      <c r="IC17" s="82">
        <v>54</v>
      </c>
      <c r="ID17" s="82"/>
      <c r="IE17" s="82"/>
      <c r="IF17" s="82"/>
      <c r="IG17" s="82">
        <v>415</v>
      </c>
      <c r="IH17" s="82"/>
      <c r="II17" s="82">
        <v>413</v>
      </c>
      <c r="IJ17" s="82"/>
      <c r="IK17" s="82">
        <v>208</v>
      </c>
      <c r="IL17" s="82"/>
      <c r="IM17" s="82"/>
      <c r="IN17" s="82">
        <v>60</v>
      </c>
      <c r="IO17" s="82">
        <v>461</v>
      </c>
      <c r="IP17" s="82"/>
      <c r="IQ17" s="82">
        <v>191</v>
      </c>
      <c r="IR17" s="82"/>
      <c r="IS17" s="82"/>
      <c r="IT17" s="82"/>
      <c r="IU17" s="82">
        <v>165</v>
      </c>
      <c r="IV17" s="82"/>
      <c r="IW17" s="82">
        <v>101</v>
      </c>
      <c r="IX17" s="82"/>
      <c r="IY17" s="82">
        <v>162</v>
      </c>
      <c r="IZ17" s="82"/>
      <c r="JA17" s="82"/>
      <c r="JB17" s="82"/>
      <c r="JC17" s="82">
        <v>144</v>
      </c>
      <c r="JD17" s="82">
        <v>216</v>
      </c>
      <c r="JE17" s="82"/>
      <c r="JF17" s="82"/>
      <c r="JG17" s="82"/>
      <c r="JH17" s="82"/>
      <c r="JI17" s="82"/>
      <c r="JJ17" s="82">
        <v>60</v>
      </c>
      <c r="JK17" s="82">
        <v>236</v>
      </c>
      <c r="JL17" s="82">
        <v>0</v>
      </c>
      <c r="JM17" s="82">
        <v>177</v>
      </c>
      <c r="JN17" s="82"/>
      <c r="JO17" s="82"/>
      <c r="JP17" s="82">
        <v>111</v>
      </c>
      <c r="JQ17" s="82">
        <v>58</v>
      </c>
      <c r="JR17" s="82">
        <v>191</v>
      </c>
      <c r="JS17" s="82"/>
      <c r="JT17" s="82">
        <v>273</v>
      </c>
      <c r="JU17" s="82"/>
      <c r="JV17" s="82"/>
      <c r="JW17" s="82"/>
      <c r="JX17" s="82">
        <v>210</v>
      </c>
      <c r="JY17" s="82"/>
      <c r="JZ17" s="82">
        <v>267</v>
      </c>
      <c r="KA17" s="82">
        <v>146</v>
      </c>
      <c r="KB17" s="82">
        <v>0</v>
      </c>
      <c r="KC17" s="82"/>
      <c r="KD17" s="82"/>
      <c r="KE17" s="82"/>
      <c r="KF17" s="82">
        <v>124</v>
      </c>
      <c r="KG17" s="82">
        <v>181</v>
      </c>
      <c r="KH17" s="82">
        <v>171</v>
      </c>
      <c r="KI17" s="82"/>
      <c r="KJ17" s="82"/>
      <c r="KK17" s="82"/>
      <c r="KL17" s="82">
        <v>106</v>
      </c>
      <c r="KM17" s="82">
        <v>199</v>
      </c>
      <c r="KN17" s="82">
        <v>58</v>
      </c>
      <c r="KO17" s="82">
        <v>240</v>
      </c>
      <c r="KP17" s="82"/>
      <c r="KQ17" s="82"/>
      <c r="KR17" s="82">
        <v>73</v>
      </c>
      <c r="KS17" s="82">
        <v>181</v>
      </c>
      <c r="KT17" s="82">
        <v>90</v>
      </c>
      <c r="KU17" s="82">
        <v>200</v>
      </c>
      <c r="KV17" s="82">
        <v>100</v>
      </c>
      <c r="KW17" s="82"/>
      <c r="KX17" s="82"/>
      <c r="KY17" s="82"/>
      <c r="KZ17" s="82"/>
      <c r="LA17" s="82">
        <v>190</v>
      </c>
      <c r="LB17" s="82"/>
      <c r="LC17" s="82">
        <v>208</v>
      </c>
      <c r="LD17" s="82"/>
      <c r="LE17" s="82"/>
      <c r="LF17" s="82">
        <v>96</v>
      </c>
      <c r="LG17" s="82">
        <v>124</v>
      </c>
      <c r="LH17" s="82">
        <v>180</v>
      </c>
      <c r="LI17" s="82">
        <v>95</v>
      </c>
      <c r="LJ17" s="82">
        <v>136</v>
      </c>
      <c r="LK17" s="82"/>
      <c r="LL17" s="82"/>
      <c r="LM17" s="82"/>
      <c r="LN17" s="82">
        <v>261</v>
      </c>
      <c r="LO17" s="82">
        <v>0</v>
      </c>
      <c r="LP17" s="82">
        <v>97</v>
      </c>
      <c r="LQ17" s="82">
        <v>275</v>
      </c>
      <c r="LR17" s="82"/>
      <c r="LS17" s="82"/>
      <c r="LT17" s="82">
        <v>134</v>
      </c>
      <c r="LU17" s="82"/>
      <c r="LV17" s="82">
        <v>247</v>
      </c>
      <c r="LW17" s="82"/>
      <c r="LX17" s="82">
        <v>218</v>
      </c>
      <c r="LY17" s="82"/>
      <c r="LZ17" s="82"/>
      <c r="MA17" s="82"/>
      <c r="MB17" s="82">
        <v>308</v>
      </c>
      <c r="MC17" s="82"/>
      <c r="MD17" s="82">
        <v>299</v>
      </c>
      <c r="ME17" s="82"/>
      <c r="MF17" s="82"/>
      <c r="MG17" s="82"/>
      <c r="MH17" s="82">
        <v>30</v>
      </c>
      <c r="MI17" s="82">
        <v>139</v>
      </c>
      <c r="MJ17" s="82"/>
      <c r="MK17" s="82">
        <v>154</v>
      </c>
      <c r="ML17" s="82">
        <v>157</v>
      </c>
      <c r="MM17" s="82"/>
      <c r="MN17" s="82"/>
      <c r="MO17" s="82"/>
      <c r="MP17" s="82">
        <v>120</v>
      </c>
      <c r="MQ17" s="82">
        <v>72</v>
      </c>
      <c r="MR17" s="82">
        <v>250</v>
      </c>
      <c r="MS17" s="82"/>
      <c r="MT17" s="82"/>
      <c r="MU17" s="82"/>
      <c r="MV17" s="82">
        <v>96</v>
      </c>
      <c r="MW17" s="82">
        <v>125</v>
      </c>
      <c r="MX17" s="82">
        <v>199</v>
      </c>
      <c r="MY17" s="82">
        <v>260</v>
      </c>
      <c r="MZ17" s="82"/>
      <c r="NA17" s="82"/>
      <c r="NB17" s="82"/>
      <c r="NC17" s="82"/>
      <c r="ND17" s="82">
        <v>270</v>
      </c>
      <c r="NE17" s="82"/>
      <c r="NF17" s="82">
        <v>471</v>
      </c>
      <c r="NG17" s="82"/>
      <c r="NH17" s="82"/>
      <c r="NI17" s="82"/>
    </row>
    <row r="18" spans="1:373" x14ac:dyDescent="0.2">
      <c r="A18" s="18" t="s">
        <v>13</v>
      </c>
      <c r="B18" s="81">
        <v>97</v>
      </c>
      <c r="C18" s="82"/>
      <c r="D18" s="82"/>
      <c r="E18" s="82">
        <v>9</v>
      </c>
      <c r="F18" s="82"/>
      <c r="G18" s="82"/>
      <c r="H18" s="82"/>
      <c r="I18" s="82"/>
      <c r="J18" s="82"/>
      <c r="K18" s="82">
        <v>34</v>
      </c>
      <c r="L18" s="82">
        <v>51</v>
      </c>
      <c r="M18" s="82">
        <v>31</v>
      </c>
      <c r="N18" s="82">
        <v>13</v>
      </c>
      <c r="O18" s="82"/>
      <c r="P18" s="82"/>
      <c r="Q18" s="82"/>
      <c r="R18" s="82">
        <v>63</v>
      </c>
      <c r="S18" s="82">
        <v>66</v>
      </c>
      <c r="T18" s="82"/>
      <c r="U18" s="82">
        <v>35</v>
      </c>
      <c r="V18" s="82"/>
      <c r="W18" s="82"/>
      <c r="X18" s="82"/>
      <c r="Y18" s="82">
        <v>16</v>
      </c>
      <c r="Z18" s="82">
        <v>25</v>
      </c>
      <c r="AA18" s="82"/>
      <c r="AB18" s="82">
        <v>14</v>
      </c>
      <c r="AC18" s="82"/>
      <c r="AD18" s="82"/>
      <c r="AE18" s="82"/>
      <c r="AF18" s="82">
        <v>15</v>
      </c>
      <c r="AG18" s="82"/>
      <c r="AH18" s="82">
        <v>22</v>
      </c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82"/>
      <c r="BV18" s="82"/>
      <c r="BW18" s="82"/>
      <c r="BX18" s="82"/>
      <c r="BY18" s="82"/>
      <c r="BZ18" s="82"/>
      <c r="CA18" s="82"/>
      <c r="CB18" s="82"/>
      <c r="CC18" s="82">
        <v>110</v>
      </c>
      <c r="CD18" s="82">
        <v>58</v>
      </c>
      <c r="CE18" s="82"/>
      <c r="CF18" s="82"/>
      <c r="CG18" s="82"/>
      <c r="CH18" s="82"/>
      <c r="CI18" s="82"/>
      <c r="CJ18" s="82">
        <v>37</v>
      </c>
      <c r="CK18" s="82">
        <v>72</v>
      </c>
      <c r="CL18" s="82">
        <v>16</v>
      </c>
      <c r="CM18" s="82"/>
      <c r="CN18" s="82"/>
      <c r="CO18" s="82"/>
      <c r="CP18" s="82"/>
      <c r="CQ18" s="82">
        <v>41</v>
      </c>
      <c r="CR18" s="82">
        <v>39</v>
      </c>
      <c r="CS18" s="82"/>
      <c r="CT18" s="82"/>
      <c r="CU18" s="82"/>
      <c r="CV18" s="82"/>
      <c r="CW18" s="82"/>
      <c r="CX18" s="82"/>
      <c r="CY18" s="82"/>
      <c r="CZ18" s="82">
        <v>25</v>
      </c>
      <c r="DA18" s="82"/>
      <c r="DB18" s="82"/>
      <c r="DC18" s="82"/>
      <c r="DD18" s="82"/>
      <c r="DE18" s="82">
        <v>100</v>
      </c>
      <c r="DF18" s="82">
        <v>9</v>
      </c>
      <c r="DG18" s="82"/>
      <c r="DH18" s="82"/>
      <c r="DI18" s="82"/>
      <c r="DJ18" s="82"/>
      <c r="DK18" s="82"/>
      <c r="DL18" s="82">
        <v>32</v>
      </c>
      <c r="DM18" s="82">
        <v>32</v>
      </c>
      <c r="DN18" s="82"/>
      <c r="DO18" s="82"/>
      <c r="DP18" s="82"/>
      <c r="DQ18" s="82"/>
      <c r="DR18" s="82"/>
      <c r="DS18" s="82"/>
      <c r="DT18" s="82">
        <v>17</v>
      </c>
      <c r="DU18" s="82"/>
      <c r="DV18" s="82">
        <v>10</v>
      </c>
      <c r="DW18" s="82"/>
      <c r="DX18" s="82"/>
      <c r="DY18" s="82"/>
      <c r="DZ18" s="82"/>
      <c r="EA18" s="82"/>
      <c r="EB18" s="82">
        <v>131</v>
      </c>
      <c r="EC18" s="82"/>
      <c r="ED18" s="82"/>
      <c r="EE18" s="82"/>
      <c r="EF18" s="82"/>
      <c r="EG18" s="82">
        <v>117</v>
      </c>
      <c r="EH18" s="82">
        <v>31</v>
      </c>
      <c r="EI18" s="82"/>
      <c r="EJ18" s="82">
        <v>51</v>
      </c>
      <c r="EK18" s="82"/>
      <c r="EL18" s="82"/>
      <c r="EM18" s="82"/>
      <c r="EN18" s="82">
        <v>40</v>
      </c>
      <c r="EO18" s="82"/>
      <c r="EP18" s="82">
        <v>48</v>
      </c>
      <c r="EQ18" s="82"/>
      <c r="ER18" s="82"/>
      <c r="ES18" s="82"/>
      <c r="ET18" s="82"/>
      <c r="EU18" s="82">
        <v>13</v>
      </c>
      <c r="EV18" s="82"/>
      <c r="EW18" s="82"/>
      <c r="EX18" s="82">
        <v>35</v>
      </c>
      <c r="EY18" s="82"/>
      <c r="EZ18" s="82"/>
      <c r="FA18" s="82"/>
      <c r="FB18" s="82">
        <v>51</v>
      </c>
      <c r="FC18" s="82">
        <v>63</v>
      </c>
      <c r="FD18" s="82">
        <v>43</v>
      </c>
      <c r="FE18" s="82">
        <v>11</v>
      </c>
      <c r="FF18" s="82"/>
      <c r="FG18" s="82"/>
      <c r="FH18" s="82"/>
      <c r="FI18" s="82">
        <v>92</v>
      </c>
      <c r="FJ18" s="82">
        <v>35</v>
      </c>
      <c r="FK18" s="82"/>
      <c r="FL18" s="82">
        <v>61</v>
      </c>
      <c r="FM18" s="82"/>
      <c r="FN18" s="82"/>
      <c r="FO18" s="82">
        <v>11</v>
      </c>
      <c r="FP18" s="82">
        <v>40</v>
      </c>
      <c r="FQ18" s="82">
        <v>25</v>
      </c>
      <c r="FR18" s="82">
        <v>26</v>
      </c>
      <c r="FS18" s="82">
        <v>91</v>
      </c>
      <c r="FT18" s="82"/>
      <c r="FU18" s="82"/>
      <c r="FV18" s="82"/>
      <c r="FW18" s="82"/>
      <c r="FX18" s="82">
        <v>34</v>
      </c>
      <c r="FY18" s="82">
        <v>10</v>
      </c>
      <c r="FZ18" s="82">
        <v>21</v>
      </c>
      <c r="GA18" s="82"/>
      <c r="GB18" s="82"/>
      <c r="GC18" s="82"/>
      <c r="GD18" s="82"/>
      <c r="GE18" s="82"/>
      <c r="GF18" s="82"/>
      <c r="GG18" s="82">
        <v>101</v>
      </c>
      <c r="GH18" s="82"/>
      <c r="GI18" s="82"/>
      <c r="GJ18" s="82">
        <v>45</v>
      </c>
      <c r="GK18" s="82">
        <v>64</v>
      </c>
      <c r="GL18" s="82"/>
      <c r="GM18" s="82">
        <v>58</v>
      </c>
      <c r="GN18" s="82">
        <v>48</v>
      </c>
      <c r="GO18" s="82"/>
      <c r="GP18" s="82"/>
      <c r="GQ18" s="82">
        <v>12</v>
      </c>
      <c r="GR18" s="82"/>
      <c r="GS18" s="82"/>
      <c r="GT18" s="82"/>
      <c r="GU18" s="82"/>
      <c r="GV18" s="82"/>
      <c r="GW18" s="82"/>
      <c r="GX18" s="82"/>
      <c r="GY18" s="82">
        <v>16</v>
      </c>
      <c r="GZ18" s="82"/>
      <c r="HA18" s="82"/>
      <c r="HB18" s="82"/>
      <c r="HC18" s="82"/>
      <c r="HD18" s="82"/>
      <c r="HE18" s="82"/>
      <c r="HF18" s="82"/>
      <c r="HG18" s="82"/>
      <c r="HH18" s="82"/>
      <c r="HI18" s="82"/>
      <c r="HJ18" s="82"/>
      <c r="HK18" s="82"/>
      <c r="HL18" s="82"/>
      <c r="HM18" s="82"/>
      <c r="HN18" s="82"/>
      <c r="HO18" s="82">
        <v>81</v>
      </c>
      <c r="HP18" s="82">
        <v>29</v>
      </c>
      <c r="HQ18" s="82"/>
      <c r="HR18" s="82"/>
      <c r="HS18" s="82"/>
      <c r="HT18" s="82">
        <v>95</v>
      </c>
      <c r="HU18" s="82">
        <v>30</v>
      </c>
      <c r="HV18" s="82">
        <v>23</v>
      </c>
      <c r="HW18" s="82">
        <v>68</v>
      </c>
      <c r="HX18" s="82"/>
      <c r="HY18" s="82"/>
      <c r="HZ18" s="82">
        <v>18</v>
      </c>
      <c r="IA18" s="82">
        <v>67</v>
      </c>
      <c r="IB18" s="82">
        <v>16</v>
      </c>
      <c r="IC18" s="82">
        <v>28</v>
      </c>
      <c r="ID18" s="82"/>
      <c r="IE18" s="82"/>
      <c r="IF18" s="82"/>
      <c r="IG18" s="82">
        <v>91</v>
      </c>
      <c r="IH18" s="82"/>
      <c r="II18" s="82">
        <v>67</v>
      </c>
      <c r="IJ18" s="82"/>
      <c r="IK18" s="82">
        <v>39</v>
      </c>
      <c r="IL18" s="82"/>
      <c r="IM18" s="82"/>
      <c r="IN18" s="82"/>
      <c r="IO18" s="82">
        <v>65</v>
      </c>
      <c r="IP18" s="82"/>
      <c r="IQ18" s="82">
        <v>75</v>
      </c>
      <c r="IR18" s="82"/>
      <c r="IS18" s="82"/>
      <c r="IT18" s="82"/>
      <c r="IU18" s="82">
        <v>42</v>
      </c>
      <c r="IV18" s="82"/>
      <c r="IW18" s="82">
        <v>11</v>
      </c>
      <c r="IX18" s="82"/>
      <c r="IY18" s="82">
        <v>27</v>
      </c>
      <c r="IZ18" s="82"/>
      <c r="JA18" s="82"/>
      <c r="JB18" s="82"/>
      <c r="JC18" s="82">
        <v>45</v>
      </c>
      <c r="JD18" s="82"/>
      <c r="JE18" s="82"/>
      <c r="JF18" s="82"/>
      <c r="JG18" s="82"/>
      <c r="JH18" s="82"/>
      <c r="JI18" s="82"/>
      <c r="JJ18" s="82"/>
      <c r="JK18" s="82">
        <v>46</v>
      </c>
      <c r="JL18" s="82">
        <v>0</v>
      </c>
      <c r="JM18" s="82">
        <v>27</v>
      </c>
      <c r="JN18" s="82"/>
      <c r="JO18" s="82"/>
      <c r="JP18" s="82">
        <v>9</v>
      </c>
      <c r="JQ18" s="82">
        <v>20</v>
      </c>
      <c r="JR18" s="82">
        <v>15</v>
      </c>
      <c r="JS18" s="82"/>
      <c r="JT18" s="82"/>
      <c r="JU18" s="82"/>
      <c r="JV18" s="82"/>
      <c r="JW18" s="82"/>
      <c r="JX18" s="82"/>
      <c r="JY18" s="82"/>
      <c r="JZ18" s="82">
        <v>36</v>
      </c>
      <c r="KA18" s="82">
        <v>43</v>
      </c>
      <c r="KB18" s="82">
        <v>0</v>
      </c>
      <c r="KC18" s="82"/>
      <c r="KD18" s="82"/>
      <c r="KE18" s="82"/>
      <c r="KF18" s="82">
        <v>34</v>
      </c>
      <c r="KG18" s="82">
        <v>128</v>
      </c>
      <c r="KH18" s="82">
        <v>47</v>
      </c>
      <c r="KI18" s="82"/>
      <c r="KJ18" s="82"/>
      <c r="KK18" s="82"/>
      <c r="KL18" s="82">
        <v>60</v>
      </c>
      <c r="KM18" s="82">
        <v>25</v>
      </c>
      <c r="KN18" s="82"/>
      <c r="KO18" s="82">
        <v>20</v>
      </c>
      <c r="KP18" s="82"/>
      <c r="KQ18" s="82"/>
      <c r="KR18" s="82"/>
      <c r="KS18" s="82"/>
      <c r="KT18" s="82">
        <v>71</v>
      </c>
      <c r="KU18" s="82">
        <v>17</v>
      </c>
      <c r="KV18" s="82">
        <v>6</v>
      </c>
      <c r="KW18" s="82"/>
      <c r="KX18" s="82"/>
      <c r="KY18" s="82"/>
      <c r="KZ18" s="82"/>
      <c r="LA18" s="82">
        <v>21</v>
      </c>
      <c r="LB18" s="82"/>
      <c r="LC18" s="82">
        <v>37</v>
      </c>
      <c r="LD18" s="82"/>
      <c r="LE18" s="82"/>
      <c r="LF18" s="82"/>
      <c r="LG18" s="82">
        <v>28</v>
      </c>
      <c r="LH18" s="82">
        <v>0</v>
      </c>
      <c r="LI18" s="82">
        <v>34</v>
      </c>
      <c r="LJ18" s="82"/>
      <c r="LK18" s="82"/>
      <c r="LL18" s="82"/>
      <c r="LM18" s="82"/>
      <c r="LN18" s="82"/>
      <c r="LO18" s="82"/>
      <c r="LP18" s="82">
        <v>121</v>
      </c>
      <c r="LQ18" s="82">
        <v>56</v>
      </c>
      <c r="LR18" s="82"/>
      <c r="LS18" s="82"/>
      <c r="LT18" s="82"/>
      <c r="LU18" s="82"/>
      <c r="LV18" s="82">
        <v>82</v>
      </c>
      <c r="LW18" s="82"/>
      <c r="LX18" s="82">
        <v>61</v>
      </c>
      <c r="LY18" s="82"/>
      <c r="LZ18" s="82"/>
      <c r="MA18" s="82"/>
      <c r="MB18" s="82">
        <v>111</v>
      </c>
      <c r="MC18" s="82"/>
      <c r="MD18" s="82">
        <v>20</v>
      </c>
      <c r="ME18" s="82"/>
      <c r="MF18" s="82"/>
      <c r="MG18" s="82"/>
      <c r="MH18" s="82">
        <v>97</v>
      </c>
      <c r="MI18" s="82">
        <v>87</v>
      </c>
      <c r="MJ18" s="82"/>
      <c r="MK18" s="82">
        <v>127</v>
      </c>
      <c r="ML18" s="82">
        <v>27</v>
      </c>
      <c r="MM18" s="82"/>
      <c r="MN18" s="82"/>
      <c r="MO18" s="82"/>
      <c r="MP18" s="82">
        <v>9</v>
      </c>
      <c r="MQ18" s="82"/>
      <c r="MR18" s="82">
        <v>17</v>
      </c>
      <c r="MS18" s="82"/>
      <c r="MT18" s="82"/>
      <c r="MU18" s="82"/>
      <c r="MV18" s="82">
        <v>50</v>
      </c>
      <c r="MW18" s="82">
        <v>19</v>
      </c>
      <c r="MX18" s="82">
        <v>35</v>
      </c>
      <c r="MY18" s="82"/>
      <c r="MZ18" s="82"/>
      <c r="NA18" s="82"/>
      <c r="NB18" s="82"/>
      <c r="NC18" s="82"/>
      <c r="ND18" s="82">
        <v>96</v>
      </c>
      <c r="NE18" s="82"/>
      <c r="NF18" s="82">
        <v>87</v>
      </c>
      <c r="NG18" s="82"/>
      <c r="NH18" s="82"/>
      <c r="NI18" s="82"/>
    </row>
    <row r="19" spans="1:373" x14ac:dyDescent="0.2">
      <c r="A19" s="18" t="s">
        <v>133</v>
      </c>
      <c r="B19" s="81">
        <v>532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>
        <v>331</v>
      </c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>
        <v>443</v>
      </c>
      <c r="AW19" s="82"/>
      <c r="AX19" s="82"/>
      <c r="AY19" s="82"/>
      <c r="AZ19" s="82"/>
      <c r="BA19" s="82"/>
      <c r="BB19" s="82">
        <v>241</v>
      </c>
      <c r="BC19" s="82"/>
      <c r="BD19" s="82"/>
      <c r="BE19" s="82"/>
      <c r="BF19" s="82"/>
      <c r="BG19" s="82"/>
      <c r="BH19" s="82"/>
      <c r="BI19" s="82"/>
      <c r="BJ19" s="82"/>
      <c r="BK19" s="82">
        <v>191</v>
      </c>
      <c r="BL19" s="82"/>
      <c r="BM19" s="82"/>
      <c r="BN19" s="82"/>
      <c r="BO19" s="82"/>
      <c r="BP19" s="82">
        <v>533</v>
      </c>
      <c r="BQ19" s="82"/>
      <c r="BR19" s="82"/>
      <c r="BS19" s="82"/>
      <c r="BT19" s="82"/>
      <c r="BU19" s="82"/>
      <c r="BV19" s="82"/>
      <c r="BW19" s="82">
        <v>566</v>
      </c>
      <c r="BX19" s="82"/>
      <c r="BY19" s="82"/>
      <c r="BZ19" s="82"/>
      <c r="CA19" s="82"/>
      <c r="CB19" s="82"/>
      <c r="CC19" s="82"/>
      <c r="CD19" s="82"/>
      <c r="CE19" s="82"/>
      <c r="CF19" s="82"/>
      <c r="CG19" s="82"/>
      <c r="CH19" s="82"/>
      <c r="CI19" s="82"/>
      <c r="CJ19" s="82"/>
      <c r="CK19" s="82"/>
      <c r="CL19" s="82"/>
      <c r="CM19" s="82"/>
      <c r="CN19" s="82"/>
      <c r="CO19" s="82"/>
      <c r="CP19" s="82"/>
      <c r="CQ19" s="82"/>
      <c r="CR19" s="82"/>
      <c r="CS19" s="82"/>
      <c r="CT19" s="82"/>
      <c r="CU19" s="82"/>
      <c r="CV19" s="82"/>
      <c r="CW19" s="82"/>
      <c r="CX19" s="82"/>
      <c r="CY19" s="82"/>
      <c r="CZ19" s="82"/>
      <c r="DA19" s="82"/>
      <c r="DB19" s="82"/>
      <c r="DC19" s="82"/>
      <c r="DD19" s="82"/>
      <c r="DE19" s="82"/>
      <c r="DF19" s="82"/>
      <c r="DG19" s="82">
        <v>305</v>
      </c>
      <c r="DH19" s="82"/>
      <c r="DI19" s="82"/>
      <c r="DJ19" s="82"/>
      <c r="DK19" s="82"/>
      <c r="DL19" s="82"/>
      <c r="DM19" s="82"/>
      <c r="DN19" s="82"/>
      <c r="DO19" s="82"/>
      <c r="DP19" s="82"/>
      <c r="DQ19" s="82"/>
      <c r="DR19" s="82"/>
      <c r="DS19" s="82"/>
      <c r="DT19" s="82"/>
      <c r="DU19" s="82"/>
      <c r="DV19" s="82"/>
      <c r="DW19" s="82"/>
      <c r="DX19" s="82"/>
      <c r="DY19" s="82"/>
      <c r="DZ19" s="82"/>
      <c r="EA19" s="82">
        <v>387</v>
      </c>
      <c r="EB19" s="82"/>
      <c r="EC19" s="82"/>
      <c r="ED19" s="82"/>
      <c r="EE19" s="82"/>
      <c r="EF19" s="82"/>
      <c r="EG19" s="82"/>
      <c r="EH19" s="82"/>
      <c r="EI19" s="82"/>
      <c r="EJ19" s="82"/>
      <c r="EK19" s="82"/>
      <c r="EL19" s="82"/>
      <c r="EM19" s="82"/>
      <c r="EN19" s="82"/>
      <c r="EO19" s="82"/>
      <c r="EP19" s="82"/>
      <c r="EQ19" s="82"/>
      <c r="ER19" s="82"/>
      <c r="ES19" s="82"/>
      <c r="ET19" s="82"/>
      <c r="EU19" s="82">
        <v>307</v>
      </c>
      <c r="EV19" s="82"/>
      <c r="EW19" s="82"/>
      <c r="EX19" s="82"/>
      <c r="EY19" s="82"/>
      <c r="EZ19" s="82"/>
      <c r="FA19" s="82"/>
      <c r="FB19" s="82"/>
      <c r="FC19" s="82"/>
      <c r="FD19" s="82"/>
      <c r="FE19" s="82"/>
      <c r="FF19" s="82"/>
      <c r="FG19" s="82"/>
      <c r="FH19" s="82"/>
      <c r="FI19" s="82"/>
      <c r="FJ19" s="82"/>
      <c r="FK19" s="82"/>
      <c r="FL19" s="82"/>
      <c r="FM19" s="82"/>
      <c r="FN19" s="82"/>
      <c r="FO19" s="82"/>
      <c r="FP19" s="82"/>
      <c r="FQ19" s="82"/>
      <c r="FR19" s="82"/>
      <c r="FS19" s="82"/>
      <c r="FT19" s="82"/>
      <c r="FU19" s="82"/>
      <c r="FV19" s="82"/>
      <c r="FW19" s="82"/>
      <c r="FX19" s="82"/>
      <c r="FY19" s="82"/>
      <c r="FZ19" s="82">
        <v>516</v>
      </c>
      <c r="GA19" s="82"/>
      <c r="GB19" s="82"/>
      <c r="GC19" s="82"/>
      <c r="GD19" s="82"/>
      <c r="GE19" s="82"/>
      <c r="GF19" s="82"/>
      <c r="GG19" s="82"/>
      <c r="GH19" s="82"/>
      <c r="GI19" s="82"/>
      <c r="GJ19" s="82"/>
      <c r="GK19" s="82"/>
      <c r="GL19" s="82"/>
      <c r="GM19" s="82"/>
      <c r="GN19" s="82"/>
      <c r="GO19" s="82"/>
      <c r="GP19" s="82"/>
      <c r="GQ19" s="82"/>
      <c r="GR19" s="82"/>
      <c r="GS19" s="82"/>
      <c r="GT19" s="82"/>
      <c r="GU19" s="82"/>
      <c r="GV19" s="82"/>
      <c r="GW19" s="82"/>
      <c r="GX19" s="82"/>
      <c r="GY19" s="82"/>
      <c r="GZ19" s="82"/>
      <c r="HA19" s="82"/>
      <c r="HB19" s="82"/>
      <c r="HC19" s="82"/>
      <c r="HD19" s="82"/>
      <c r="HE19" s="82"/>
      <c r="HF19" s="82"/>
      <c r="HG19" s="82"/>
      <c r="HH19" s="82"/>
      <c r="HI19" s="82"/>
      <c r="HJ19" s="82"/>
      <c r="HK19" s="82"/>
      <c r="HL19" s="82"/>
      <c r="HM19" s="82"/>
      <c r="HN19" s="82"/>
      <c r="HO19" s="82"/>
      <c r="HP19" s="82"/>
      <c r="HQ19" s="82"/>
      <c r="HR19" s="82"/>
      <c r="HS19" s="82"/>
      <c r="HT19" s="82"/>
      <c r="HU19" s="82"/>
      <c r="HV19" s="82"/>
      <c r="HW19" s="82"/>
      <c r="HX19" s="82"/>
      <c r="HY19" s="82"/>
      <c r="HZ19" s="82"/>
      <c r="IA19" s="82"/>
      <c r="IB19" s="82"/>
      <c r="IC19" s="82">
        <v>809</v>
      </c>
      <c r="ID19" s="82"/>
      <c r="IE19" s="82"/>
      <c r="IF19" s="82"/>
      <c r="IG19" s="82"/>
      <c r="IH19" s="82"/>
      <c r="II19" s="82"/>
      <c r="IJ19" s="82"/>
      <c r="IK19" s="82"/>
      <c r="IL19" s="82"/>
      <c r="IM19" s="82"/>
      <c r="IN19" s="82"/>
      <c r="IO19" s="82"/>
      <c r="IP19" s="82"/>
      <c r="IQ19" s="82"/>
      <c r="IR19" s="82"/>
      <c r="IS19" s="82"/>
      <c r="IT19" s="82"/>
      <c r="IU19" s="82"/>
      <c r="IV19" s="82"/>
      <c r="IW19" s="82"/>
      <c r="IX19" s="82"/>
      <c r="IY19" s="82">
        <v>823</v>
      </c>
      <c r="IZ19" s="82"/>
      <c r="JA19" s="82"/>
      <c r="JB19" s="82"/>
      <c r="JC19" s="82"/>
      <c r="JD19" s="82"/>
      <c r="JE19" s="82"/>
      <c r="JF19" s="82"/>
      <c r="JG19" s="82"/>
      <c r="JH19" s="82"/>
      <c r="JI19" s="82"/>
      <c r="JJ19" s="82"/>
      <c r="JK19" s="82"/>
      <c r="JL19" s="82"/>
      <c r="JM19" s="82"/>
      <c r="JN19" s="82"/>
      <c r="JO19" s="82"/>
      <c r="JP19" s="82"/>
      <c r="JQ19" s="82"/>
      <c r="JR19" s="82"/>
      <c r="JS19" s="82"/>
      <c r="JT19" s="82"/>
      <c r="JU19" s="82"/>
      <c r="JV19" s="82"/>
      <c r="JW19" s="82"/>
      <c r="JX19" s="82"/>
      <c r="JY19" s="82"/>
      <c r="JZ19" s="82"/>
      <c r="KA19" s="82">
        <v>211</v>
      </c>
      <c r="KB19" s="82"/>
      <c r="KC19" s="82"/>
      <c r="KD19" s="82"/>
      <c r="KE19" s="82"/>
      <c r="KF19" s="82"/>
      <c r="KG19" s="82">
        <v>443</v>
      </c>
      <c r="KH19" s="82"/>
      <c r="KI19" s="82"/>
      <c r="KJ19" s="82"/>
      <c r="KK19" s="82"/>
      <c r="KL19" s="82"/>
      <c r="KM19" s="82"/>
      <c r="KN19" s="82"/>
      <c r="KO19" s="82"/>
      <c r="KP19" s="82"/>
      <c r="KQ19" s="82"/>
      <c r="KR19" s="82">
        <v>813</v>
      </c>
      <c r="KS19" s="82"/>
      <c r="KT19" s="82"/>
      <c r="KU19" s="82"/>
      <c r="KV19" s="82"/>
      <c r="KW19" s="82"/>
      <c r="KX19" s="82"/>
      <c r="KY19" s="82"/>
      <c r="KZ19" s="82"/>
      <c r="LA19" s="82"/>
      <c r="LB19" s="82"/>
      <c r="LC19" s="82"/>
      <c r="LD19" s="82"/>
      <c r="LE19" s="82"/>
      <c r="LF19" s="82"/>
      <c r="LG19" s="82">
        <v>136</v>
      </c>
      <c r="LH19" s="82"/>
      <c r="LI19" s="82"/>
      <c r="LJ19" s="82"/>
      <c r="LK19" s="82"/>
      <c r="LL19" s="82"/>
      <c r="LM19" s="82"/>
      <c r="LN19" s="82"/>
      <c r="LO19" s="82"/>
      <c r="LP19" s="82"/>
      <c r="LQ19" s="82"/>
      <c r="LR19" s="82"/>
      <c r="LS19" s="82"/>
      <c r="LT19" s="82"/>
      <c r="LU19" s="82"/>
      <c r="LV19" s="82"/>
      <c r="LW19" s="82"/>
      <c r="LX19" s="82"/>
      <c r="LY19" s="82"/>
      <c r="LZ19" s="82"/>
      <c r="MA19" s="82"/>
      <c r="MB19" s="82"/>
      <c r="MC19" s="82"/>
      <c r="MD19" s="82">
        <v>882</v>
      </c>
      <c r="ME19" s="82"/>
      <c r="MF19" s="82"/>
      <c r="MG19" s="82"/>
      <c r="MH19" s="82"/>
      <c r="MI19" s="82"/>
      <c r="MJ19" s="82"/>
      <c r="MK19" s="82"/>
      <c r="ML19" s="82"/>
      <c r="MM19" s="82"/>
      <c r="MN19" s="82"/>
      <c r="MO19" s="82"/>
      <c r="MP19" s="82"/>
      <c r="MQ19" s="82"/>
      <c r="MR19" s="82"/>
      <c r="MS19" s="82">
        <v>900</v>
      </c>
      <c r="MT19" s="82"/>
      <c r="MU19" s="82"/>
      <c r="MV19" s="82"/>
      <c r="MW19" s="82"/>
      <c r="MX19" s="82"/>
      <c r="MY19" s="82"/>
      <c r="MZ19" s="82"/>
      <c r="NA19" s="82"/>
      <c r="NB19" s="82"/>
      <c r="NC19" s="82"/>
      <c r="ND19" s="82"/>
      <c r="NE19" s="82"/>
      <c r="NF19" s="82"/>
      <c r="NG19" s="82"/>
      <c r="NH19" s="82"/>
      <c r="NI19" s="82"/>
    </row>
    <row r="20" spans="1:373" s="96" customFormat="1" ht="16" thickBot="1" x14ac:dyDescent="0.25">
      <c r="A20" s="103" t="s">
        <v>135</v>
      </c>
      <c r="B20" s="127">
        <v>363</v>
      </c>
      <c r="C20" s="128"/>
      <c r="D20" s="128"/>
      <c r="E20" s="128"/>
      <c r="F20" s="128"/>
      <c r="G20" s="128"/>
      <c r="H20" s="128"/>
      <c r="I20" s="128"/>
      <c r="J20" s="128"/>
      <c r="K20" s="128"/>
      <c r="L20" s="128">
        <v>192</v>
      </c>
      <c r="M20" s="128"/>
      <c r="N20" s="128"/>
      <c r="O20" s="128"/>
      <c r="P20" s="128"/>
      <c r="Q20" s="128"/>
      <c r="R20" s="128">
        <v>77</v>
      </c>
      <c r="S20" s="128"/>
      <c r="T20" s="128"/>
      <c r="U20" s="128"/>
      <c r="V20" s="128"/>
      <c r="W20" s="128"/>
      <c r="X20" s="128">
        <v>236</v>
      </c>
      <c r="Y20" s="128"/>
      <c r="Z20" s="128"/>
      <c r="AA20" s="128"/>
      <c r="AB20" s="128"/>
      <c r="AC20" s="128"/>
      <c r="AD20" s="128"/>
      <c r="AE20" s="128"/>
      <c r="AF20" s="128"/>
      <c r="AG20" s="128">
        <v>258</v>
      </c>
      <c r="AH20" s="128"/>
      <c r="AI20" s="128"/>
      <c r="AJ20" s="128"/>
      <c r="AK20" s="128"/>
      <c r="AL20" s="128"/>
      <c r="AM20" s="128">
        <v>237</v>
      </c>
      <c r="AN20" s="128">
        <v>84</v>
      </c>
      <c r="AO20" s="128"/>
      <c r="AP20" s="128"/>
      <c r="AQ20" s="128"/>
      <c r="AR20" s="128"/>
      <c r="AS20" s="128"/>
      <c r="AT20" s="128">
        <v>138</v>
      </c>
      <c r="AU20" s="128">
        <v>220</v>
      </c>
      <c r="AV20" s="128">
        <v>158</v>
      </c>
      <c r="AW20" s="128"/>
      <c r="AX20" s="128"/>
      <c r="AY20" s="128"/>
      <c r="AZ20" s="128">
        <v>184</v>
      </c>
      <c r="BA20" s="128"/>
      <c r="BB20" s="128"/>
      <c r="BC20" s="134">
        <v>259</v>
      </c>
      <c r="BD20" s="82"/>
      <c r="BE20" s="82"/>
      <c r="BF20" s="82"/>
      <c r="BG20" s="82"/>
      <c r="BH20" s="133">
        <v>83</v>
      </c>
      <c r="BI20" s="132"/>
      <c r="BJ20" s="132">
        <v>320</v>
      </c>
      <c r="BK20" s="132">
        <v>299</v>
      </c>
      <c r="BL20" s="132"/>
      <c r="BM20" s="82"/>
      <c r="BN20" s="82"/>
      <c r="BO20" s="133">
        <v>206</v>
      </c>
      <c r="BP20" s="133">
        <v>127</v>
      </c>
      <c r="BQ20" s="133">
        <v>251</v>
      </c>
      <c r="BR20" s="82"/>
      <c r="BS20" s="82"/>
      <c r="BT20" s="82"/>
      <c r="BU20" s="135">
        <v>325</v>
      </c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133">
        <v>224</v>
      </c>
      <c r="CG20" s="82"/>
      <c r="CH20" s="82"/>
      <c r="CI20" s="82"/>
      <c r="CJ20" s="82"/>
      <c r="CK20" s="82"/>
      <c r="CL20" s="82"/>
      <c r="CM20" s="82"/>
      <c r="CN20" s="82"/>
      <c r="CO20" s="82"/>
      <c r="CP20" s="133">
        <v>167</v>
      </c>
      <c r="CQ20" s="133">
        <v>302</v>
      </c>
      <c r="CR20" s="82"/>
      <c r="CS20" s="82"/>
      <c r="CT20" s="82"/>
      <c r="CU20" s="82"/>
      <c r="CV20" s="82"/>
      <c r="CW20" s="82"/>
      <c r="CX20" s="82"/>
      <c r="CY20" s="82"/>
      <c r="CZ20" s="82"/>
      <c r="DA20" s="82"/>
      <c r="DB20" s="82"/>
      <c r="DC20" s="82"/>
      <c r="DD20" s="82"/>
      <c r="DE20" s="133">
        <v>78</v>
      </c>
      <c r="DF20" s="133">
        <v>201</v>
      </c>
      <c r="DG20" s="133">
        <v>131</v>
      </c>
      <c r="DH20" s="133"/>
      <c r="DI20" s="133"/>
      <c r="DJ20" s="133"/>
      <c r="DK20" s="133"/>
      <c r="DL20" s="133"/>
      <c r="DM20" s="133"/>
      <c r="DN20" s="133"/>
      <c r="DO20" s="133">
        <v>46</v>
      </c>
      <c r="DP20" s="82"/>
      <c r="DQ20" s="82"/>
      <c r="DR20" s="82"/>
      <c r="DS20" s="82"/>
      <c r="DT20" s="82"/>
      <c r="DU20" s="82"/>
      <c r="DV20" s="82"/>
      <c r="DW20" s="82"/>
      <c r="DX20" s="82"/>
      <c r="DY20" s="82"/>
      <c r="DZ20" s="82"/>
      <c r="EA20" s="82">
        <v>210</v>
      </c>
      <c r="EB20" s="82"/>
      <c r="EC20" s="82"/>
      <c r="ED20" s="82"/>
      <c r="EE20" s="82"/>
      <c r="EF20" s="82"/>
      <c r="EG20" s="82"/>
      <c r="EH20" s="82"/>
      <c r="EI20" s="82"/>
      <c r="EJ20" s="82"/>
      <c r="EK20" s="82"/>
      <c r="EL20" s="82"/>
      <c r="EM20" s="82"/>
      <c r="EN20" s="82"/>
      <c r="EO20" s="82"/>
      <c r="EP20" s="82"/>
      <c r="EQ20" s="82"/>
      <c r="ER20" s="82"/>
      <c r="ES20" s="82"/>
      <c r="ET20" s="82"/>
      <c r="EU20" s="82">
        <v>212</v>
      </c>
      <c r="EV20" s="82"/>
      <c r="EW20" s="82"/>
      <c r="EX20" s="82">
        <v>214</v>
      </c>
      <c r="EY20" s="82"/>
      <c r="EZ20" s="82"/>
      <c r="FA20" s="82"/>
      <c r="FB20" s="82"/>
      <c r="FC20" s="82"/>
      <c r="FD20" s="82"/>
      <c r="FE20" s="82"/>
      <c r="FF20" s="82"/>
      <c r="FG20" s="82"/>
      <c r="FH20" s="82"/>
      <c r="FI20" s="82"/>
      <c r="FJ20" s="82"/>
      <c r="FK20" s="82"/>
      <c r="FL20" s="82"/>
      <c r="FM20" s="82"/>
      <c r="FN20" s="82"/>
      <c r="FO20" s="82"/>
      <c r="FP20" s="82"/>
      <c r="FQ20" s="82"/>
      <c r="FR20" s="82"/>
      <c r="FS20" s="82"/>
      <c r="FT20" s="82"/>
      <c r="FU20" s="82"/>
      <c r="FV20" s="82"/>
      <c r="FW20" s="82"/>
      <c r="FX20" s="82"/>
      <c r="FY20" s="82">
        <v>338</v>
      </c>
      <c r="FZ20" s="82"/>
      <c r="GA20" s="82"/>
      <c r="GB20" s="82"/>
      <c r="GC20" s="82"/>
      <c r="GD20" s="82"/>
      <c r="GE20" s="82"/>
      <c r="GF20" s="82"/>
      <c r="GG20" s="82"/>
      <c r="GH20" s="82"/>
      <c r="GI20" s="82"/>
      <c r="GJ20" s="82"/>
      <c r="GK20" s="82"/>
      <c r="GL20" s="82"/>
      <c r="GM20" s="82"/>
      <c r="GN20" s="82"/>
      <c r="GO20" s="82"/>
      <c r="GP20" s="82"/>
      <c r="GQ20" s="82"/>
      <c r="GR20" s="82"/>
      <c r="GS20" s="82"/>
      <c r="GT20" s="82"/>
      <c r="GU20" s="82"/>
      <c r="GV20" s="82"/>
      <c r="GW20" s="82"/>
      <c r="GX20" s="82"/>
      <c r="GY20" s="82"/>
      <c r="GZ20" s="82"/>
      <c r="HA20" s="82"/>
      <c r="HB20" s="82"/>
      <c r="HC20" s="82"/>
      <c r="HD20" s="82"/>
      <c r="HE20" s="82"/>
      <c r="HF20" s="82"/>
      <c r="HG20" s="82"/>
      <c r="HH20" s="82"/>
      <c r="HI20" s="82"/>
      <c r="HJ20" s="82"/>
      <c r="HK20" s="82"/>
      <c r="HL20" s="82"/>
      <c r="HM20" s="82"/>
      <c r="HN20" s="82">
        <v>313</v>
      </c>
      <c r="HO20" s="82"/>
      <c r="HP20" s="82">
        <v>157</v>
      </c>
      <c r="HQ20" s="82"/>
      <c r="HR20" s="82"/>
      <c r="HS20" s="82"/>
      <c r="HT20" s="82"/>
      <c r="HU20" s="82">
        <v>153</v>
      </c>
      <c r="HV20" s="82"/>
      <c r="HW20" s="82"/>
      <c r="HX20" s="82"/>
      <c r="HY20" s="82"/>
      <c r="HZ20" s="82">
        <v>192</v>
      </c>
      <c r="IA20" s="82">
        <v>280</v>
      </c>
      <c r="IB20" s="82"/>
      <c r="IC20" s="82"/>
      <c r="ID20" s="82"/>
      <c r="IE20" s="82"/>
      <c r="IF20" s="82"/>
      <c r="IG20" s="82"/>
      <c r="IH20" s="82"/>
      <c r="II20" s="82">
        <v>441</v>
      </c>
      <c r="IJ20" s="82"/>
      <c r="IK20" s="82"/>
      <c r="IL20" s="82"/>
      <c r="IM20" s="82"/>
      <c r="IN20" s="82"/>
      <c r="IO20" s="82">
        <v>273</v>
      </c>
      <c r="IP20" s="82"/>
      <c r="IQ20" s="82"/>
      <c r="IR20" s="82"/>
      <c r="IS20" s="82"/>
      <c r="IT20" s="82"/>
      <c r="IU20" s="82"/>
      <c r="IV20" s="82"/>
      <c r="IW20" s="82"/>
      <c r="IX20" s="82">
        <v>585</v>
      </c>
      <c r="IY20" s="82"/>
      <c r="IZ20" s="82"/>
      <c r="JA20" s="82"/>
      <c r="JB20" s="82"/>
      <c r="JC20" s="82"/>
      <c r="JD20" s="82"/>
      <c r="JE20" s="82"/>
      <c r="JF20" s="82"/>
      <c r="JG20" s="82"/>
      <c r="JH20" s="82"/>
      <c r="JI20" s="82"/>
      <c r="JJ20" s="82"/>
      <c r="JK20" s="82"/>
      <c r="JL20" s="82"/>
      <c r="JM20" s="82"/>
      <c r="JN20" s="82"/>
      <c r="JO20" s="82"/>
      <c r="JP20" s="82"/>
      <c r="JQ20" s="82"/>
      <c r="JR20" s="82">
        <v>544</v>
      </c>
      <c r="JS20" s="82"/>
      <c r="JT20" s="82"/>
      <c r="JU20" s="82"/>
      <c r="JV20" s="82"/>
      <c r="JW20" s="82"/>
      <c r="JX20" s="82"/>
      <c r="JY20" s="82"/>
      <c r="JZ20" s="82"/>
      <c r="KA20" s="82">
        <v>211</v>
      </c>
      <c r="KB20" s="82"/>
      <c r="KC20" s="82"/>
      <c r="KD20" s="82"/>
      <c r="KE20" s="82"/>
      <c r="KF20" s="82">
        <v>230</v>
      </c>
      <c r="KG20" s="82"/>
      <c r="KH20" s="82">
        <v>194</v>
      </c>
      <c r="KI20" s="82"/>
      <c r="KJ20" s="82"/>
      <c r="KK20" s="82"/>
      <c r="KL20" s="82"/>
      <c r="KM20" s="82">
        <v>224</v>
      </c>
      <c r="KN20" s="82"/>
      <c r="KO20" s="82"/>
      <c r="KP20" s="82"/>
      <c r="KQ20" s="82"/>
      <c r="KR20" s="82"/>
      <c r="KS20" s="82"/>
      <c r="KT20" s="82">
        <v>614</v>
      </c>
      <c r="KU20" s="82"/>
      <c r="KV20" s="82"/>
      <c r="KW20" s="82"/>
      <c r="KX20" s="82"/>
      <c r="KY20" s="82"/>
      <c r="KZ20" s="82"/>
      <c r="LA20" s="82"/>
      <c r="LB20" s="82"/>
      <c r="LC20" s="82"/>
      <c r="LD20" s="82"/>
      <c r="LE20" s="82"/>
      <c r="LF20" s="82"/>
      <c r="LG20" s="82">
        <v>122</v>
      </c>
      <c r="LH20" s="82"/>
      <c r="LI20" s="82">
        <v>246</v>
      </c>
      <c r="LJ20" s="82">
        <v>321</v>
      </c>
      <c r="LK20" s="82"/>
      <c r="LL20" s="82"/>
      <c r="LM20" s="82"/>
      <c r="LN20" s="82"/>
      <c r="LO20" s="82"/>
      <c r="LP20" s="82"/>
      <c r="LQ20" s="82"/>
      <c r="LR20" s="82"/>
      <c r="LS20" s="82"/>
      <c r="LT20" s="82">
        <v>480</v>
      </c>
      <c r="LU20" s="82"/>
      <c r="LV20" s="82">
        <v>222</v>
      </c>
      <c r="LW20" s="82"/>
      <c r="LX20" s="82"/>
      <c r="LY20" s="82"/>
      <c r="LZ20" s="82"/>
      <c r="MA20" s="82"/>
      <c r="MB20" s="82">
        <v>496</v>
      </c>
      <c r="MC20" s="82"/>
      <c r="MD20" s="82"/>
      <c r="ME20" s="82"/>
      <c r="MF20" s="82"/>
      <c r="MG20" s="82"/>
      <c r="MH20" s="82"/>
      <c r="MI20" s="82"/>
      <c r="MJ20" s="82"/>
      <c r="MK20" s="82"/>
      <c r="ML20" s="82"/>
      <c r="MM20" s="82"/>
      <c r="MN20" s="82"/>
      <c r="MO20" s="82"/>
      <c r="MP20" s="82"/>
      <c r="MQ20" s="82"/>
      <c r="MR20" s="82">
        <v>306</v>
      </c>
      <c r="MS20" s="82"/>
      <c r="MT20" s="82"/>
      <c r="MU20" s="82"/>
      <c r="MV20" s="82"/>
      <c r="MW20" s="82"/>
      <c r="MX20" s="82"/>
      <c r="MY20" s="82">
        <v>305</v>
      </c>
      <c r="MZ20" s="82"/>
      <c r="NA20" s="82"/>
      <c r="NB20" s="82"/>
      <c r="NC20" s="82"/>
      <c r="ND20" s="82"/>
      <c r="NE20" s="82"/>
      <c r="NF20" s="82"/>
      <c r="NG20" s="82"/>
      <c r="NH20" s="82"/>
      <c r="NI20" s="82"/>
    </row>
    <row r="21" spans="1:373" x14ac:dyDescent="0.2">
      <c r="A21" s="20" t="s">
        <v>6</v>
      </c>
      <c r="B21" s="77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>
        <v>80</v>
      </c>
      <c r="S21" s="78"/>
      <c r="T21" s="78">
        <v>120</v>
      </c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>
        <v>500</v>
      </c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>
        <v>200</v>
      </c>
      <c r="BB21" s="78"/>
      <c r="BC21" s="78"/>
      <c r="BD21" s="78"/>
      <c r="BE21" s="78"/>
      <c r="BF21" s="78"/>
      <c r="BG21" s="78">
        <v>200</v>
      </c>
      <c r="BH21" s="78"/>
      <c r="BI21" s="78"/>
      <c r="BJ21" s="78"/>
      <c r="BK21" s="78">
        <v>300</v>
      </c>
      <c r="BL21" s="78"/>
      <c r="BM21" s="78"/>
      <c r="BN21" s="78"/>
      <c r="BO21" s="78"/>
      <c r="BP21" s="78"/>
      <c r="BQ21" s="78"/>
      <c r="BR21" s="78">
        <v>300</v>
      </c>
      <c r="BS21" s="78"/>
      <c r="BT21" s="78"/>
      <c r="BU21" s="78"/>
      <c r="BV21" s="78"/>
      <c r="BW21" s="78"/>
      <c r="BX21" s="78">
        <v>400</v>
      </c>
      <c r="BY21" s="78"/>
      <c r="BZ21" s="78"/>
      <c r="CA21" s="78"/>
      <c r="CB21" s="78"/>
      <c r="CC21" s="78"/>
      <c r="CD21" s="78"/>
      <c r="CE21" s="78"/>
      <c r="CF21" s="78"/>
      <c r="CG21" s="78"/>
      <c r="CH21" s="78"/>
      <c r="CI21" s="78">
        <v>550</v>
      </c>
      <c r="CJ21" s="78">
        <v>250</v>
      </c>
      <c r="CK21" s="78"/>
      <c r="CL21" s="78"/>
      <c r="CM21" s="78"/>
      <c r="CN21" s="78"/>
      <c r="CO21" s="78"/>
      <c r="CP21" s="78"/>
      <c r="CQ21" s="78">
        <v>300</v>
      </c>
      <c r="CR21" s="78"/>
      <c r="CS21" s="78"/>
      <c r="CT21" s="78"/>
      <c r="CU21" s="78"/>
      <c r="CV21" s="78"/>
      <c r="CW21" s="78">
        <v>400</v>
      </c>
      <c r="CX21" s="78"/>
      <c r="CY21" s="78"/>
      <c r="CZ21" s="78"/>
      <c r="DA21" s="78"/>
      <c r="DB21" s="78"/>
      <c r="DC21" s="78"/>
      <c r="DD21" s="78">
        <v>350</v>
      </c>
      <c r="DE21" s="78"/>
      <c r="DF21" s="78"/>
      <c r="DG21" s="78"/>
      <c r="DH21" s="78"/>
      <c r="DI21" s="78"/>
      <c r="DJ21" s="78"/>
      <c r="DK21" s="78"/>
      <c r="DL21" s="78"/>
      <c r="DM21" s="78"/>
      <c r="DN21" s="78">
        <v>350</v>
      </c>
      <c r="DO21" s="78"/>
      <c r="DP21" s="78"/>
      <c r="DQ21" s="78"/>
      <c r="DR21" s="78"/>
      <c r="DS21" s="78"/>
      <c r="DT21" s="78"/>
      <c r="DU21" s="78"/>
      <c r="DV21" s="139">
        <v>150</v>
      </c>
      <c r="DW21" s="78"/>
      <c r="DX21" s="78"/>
      <c r="DY21" s="78"/>
      <c r="DZ21" s="78"/>
      <c r="EA21" s="78"/>
      <c r="EB21" s="78"/>
      <c r="EC21" s="78">
        <v>150</v>
      </c>
      <c r="ED21" s="78"/>
      <c r="EE21" s="78"/>
      <c r="EF21" s="78"/>
      <c r="EG21" s="78"/>
      <c r="EH21" s="78"/>
      <c r="EI21" s="78"/>
      <c r="EJ21" s="78"/>
      <c r="EK21" s="78"/>
      <c r="EL21" s="78"/>
      <c r="EM21" s="78"/>
      <c r="EN21" s="78"/>
      <c r="EO21" s="78"/>
      <c r="EP21" s="78"/>
      <c r="EQ21" s="78"/>
      <c r="ER21" s="78"/>
      <c r="ES21" s="78"/>
      <c r="ET21" s="78"/>
      <c r="EU21" s="78"/>
      <c r="EV21" s="78">
        <v>80</v>
      </c>
      <c r="EW21" s="78"/>
      <c r="EX21" s="78"/>
      <c r="EY21" s="78"/>
      <c r="EZ21" s="78"/>
      <c r="FA21" s="78">
        <v>90</v>
      </c>
      <c r="FB21" s="78"/>
      <c r="FC21" s="78"/>
      <c r="FD21" s="78"/>
      <c r="FE21" s="78"/>
      <c r="FF21" s="78"/>
      <c r="FG21" s="78"/>
      <c r="FH21" s="78"/>
      <c r="FI21" s="78"/>
      <c r="FJ21" s="78"/>
      <c r="FK21" s="78"/>
      <c r="FL21" s="78"/>
      <c r="FM21" s="78"/>
      <c r="FN21" s="78"/>
      <c r="FO21" s="78"/>
      <c r="FP21" s="78"/>
      <c r="FQ21" s="78"/>
      <c r="FR21" s="78"/>
      <c r="FS21" s="78"/>
      <c r="FT21" s="78"/>
      <c r="FU21" s="78"/>
      <c r="FV21" s="78"/>
      <c r="FW21" s="78"/>
      <c r="FX21" s="78"/>
      <c r="FY21" s="78"/>
      <c r="FZ21" s="78"/>
      <c r="GA21" s="78"/>
      <c r="GB21" s="78"/>
      <c r="GC21" s="78"/>
      <c r="GD21" s="78"/>
      <c r="GE21" s="78"/>
      <c r="GF21" s="78"/>
      <c r="GG21" s="78"/>
      <c r="GH21" s="78"/>
      <c r="GI21" s="78"/>
      <c r="GJ21" s="78"/>
      <c r="GK21" s="78"/>
      <c r="GL21" s="78"/>
      <c r="GM21" s="78"/>
      <c r="GN21" s="78"/>
      <c r="GO21" s="78"/>
      <c r="GP21" s="78"/>
      <c r="GQ21" s="78"/>
      <c r="GR21" s="78">
        <v>70</v>
      </c>
      <c r="GS21" s="78"/>
      <c r="GT21" s="78"/>
      <c r="GU21" s="78"/>
      <c r="GV21" s="78"/>
      <c r="GW21" s="78"/>
      <c r="GX21" s="78"/>
      <c r="GY21" s="78"/>
      <c r="GZ21" s="78"/>
      <c r="HA21" s="78"/>
      <c r="HB21" s="78"/>
      <c r="HC21" s="78"/>
      <c r="HD21" s="78"/>
      <c r="HE21" s="78"/>
      <c r="HF21" s="78"/>
      <c r="HG21" s="78"/>
      <c r="HH21" s="78">
        <v>20</v>
      </c>
      <c r="HI21" s="78"/>
      <c r="HJ21" s="78"/>
      <c r="HK21" s="78"/>
      <c r="HL21" s="78"/>
      <c r="HM21" s="78"/>
      <c r="HN21" s="78"/>
      <c r="HO21" s="78">
        <v>70</v>
      </c>
      <c r="HP21" s="78"/>
      <c r="HQ21" s="78"/>
      <c r="HR21" s="78"/>
      <c r="HS21" s="78"/>
      <c r="HT21" s="78"/>
      <c r="HU21" s="78"/>
      <c r="HV21" s="78"/>
      <c r="HW21" s="78"/>
      <c r="HX21" s="78"/>
      <c r="HY21" s="78"/>
      <c r="HZ21" s="78"/>
      <c r="IA21" s="78"/>
      <c r="IB21" s="78"/>
      <c r="IC21" s="78">
        <v>250</v>
      </c>
      <c r="ID21" s="78"/>
      <c r="IE21" s="78"/>
      <c r="IF21" s="78"/>
      <c r="IG21" s="78"/>
      <c r="IH21" s="78"/>
      <c r="II21" s="78"/>
      <c r="IJ21" s="78"/>
      <c r="IK21" s="78"/>
      <c r="IL21" s="78"/>
      <c r="IM21" s="78"/>
      <c r="IN21" s="78"/>
      <c r="IO21" s="78"/>
      <c r="IP21" s="78"/>
      <c r="IQ21" s="78"/>
      <c r="IR21" s="78">
        <v>311</v>
      </c>
      <c r="IS21" s="78"/>
      <c r="IT21" s="78"/>
      <c r="IU21" s="78"/>
      <c r="IV21" s="78"/>
      <c r="IW21" s="78"/>
      <c r="IX21" s="78"/>
      <c r="IY21" s="78"/>
      <c r="IZ21" s="78"/>
      <c r="JA21" s="78"/>
      <c r="JB21" s="78"/>
      <c r="JC21" s="78"/>
      <c r="JD21" s="78">
        <v>245</v>
      </c>
      <c r="JE21" s="78"/>
      <c r="JF21" s="78"/>
      <c r="JG21" s="78"/>
      <c r="JH21" s="78"/>
      <c r="JI21" s="78"/>
      <c r="JJ21" s="78"/>
      <c r="JK21" s="78"/>
      <c r="JL21" s="78"/>
      <c r="JM21" s="78"/>
      <c r="JN21" s="78"/>
      <c r="JO21" s="78"/>
      <c r="JP21" s="78"/>
      <c r="JQ21" s="78"/>
      <c r="JR21" s="78"/>
      <c r="JS21" s="78"/>
      <c r="JT21" s="78">
        <v>377</v>
      </c>
      <c r="JU21" s="78"/>
      <c r="JV21" s="78"/>
      <c r="JW21" s="78"/>
      <c r="JX21" s="78"/>
      <c r="JY21" s="78"/>
      <c r="JZ21" s="78"/>
      <c r="KA21" s="78"/>
      <c r="KB21" s="78"/>
      <c r="KC21" s="78"/>
      <c r="KD21" s="78"/>
      <c r="KE21" s="78"/>
      <c r="KF21" s="78"/>
      <c r="KG21" s="78"/>
      <c r="KH21" s="78"/>
      <c r="KI21" s="78"/>
      <c r="KJ21" s="78"/>
      <c r="KK21" s="78"/>
      <c r="KL21" s="78"/>
      <c r="KM21" s="78"/>
      <c r="KN21" s="78">
        <v>158</v>
      </c>
      <c r="KO21" s="78"/>
      <c r="KP21" s="78"/>
      <c r="KQ21" s="78"/>
      <c r="KR21" s="78"/>
      <c r="KS21" s="78"/>
      <c r="KT21" s="78"/>
      <c r="KU21" s="78"/>
      <c r="KV21" s="78"/>
      <c r="KW21" s="78"/>
      <c r="KX21" s="78"/>
      <c r="KY21" s="78"/>
      <c r="KZ21" s="78"/>
      <c r="LA21" s="78"/>
      <c r="LB21" s="78"/>
      <c r="LC21" s="78"/>
      <c r="LD21" s="78"/>
      <c r="LE21" s="78"/>
      <c r="LF21" s="78"/>
      <c r="LG21" s="78"/>
      <c r="LH21" s="78"/>
      <c r="LI21" s="78">
        <v>180</v>
      </c>
      <c r="LJ21" s="78">
        <v>0</v>
      </c>
      <c r="LK21" s="78"/>
      <c r="LL21" s="78"/>
      <c r="LM21" s="78"/>
      <c r="LN21" s="78"/>
      <c r="LO21" s="78"/>
      <c r="LP21" s="78"/>
      <c r="LQ21" s="78"/>
      <c r="LR21" s="78"/>
      <c r="LS21" s="78"/>
      <c r="LT21" s="78"/>
      <c r="LU21" s="78"/>
      <c r="LV21" s="78"/>
      <c r="LW21" s="78"/>
      <c r="LX21" s="78"/>
      <c r="LY21" s="78"/>
      <c r="LZ21" s="78"/>
      <c r="MA21" s="78"/>
      <c r="MB21" s="78"/>
      <c r="MC21" s="78"/>
      <c r="MD21" s="78"/>
      <c r="ME21" s="78">
        <v>20</v>
      </c>
      <c r="MF21" s="78"/>
      <c r="MG21" s="78"/>
      <c r="MH21" s="78"/>
      <c r="MI21" s="78"/>
      <c r="MJ21" s="78"/>
      <c r="MK21" s="78"/>
      <c r="ML21" s="78"/>
      <c r="MM21" s="78"/>
      <c r="MN21" s="78"/>
      <c r="MO21" s="78"/>
      <c r="MP21" s="78"/>
      <c r="MQ21" s="78"/>
      <c r="MR21" s="78"/>
      <c r="MS21" s="78"/>
      <c r="MT21" s="78"/>
      <c r="MU21" s="78"/>
      <c r="MV21" s="78"/>
      <c r="MW21" s="78"/>
      <c r="MX21" s="78"/>
      <c r="MY21" s="78"/>
      <c r="MZ21" s="78"/>
      <c r="NA21" s="78"/>
      <c r="NB21" s="78"/>
      <c r="NC21" s="78"/>
      <c r="ND21" s="78">
        <v>185</v>
      </c>
      <c r="NE21" s="78">
        <v>133</v>
      </c>
      <c r="NF21" s="78"/>
      <c r="NG21" s="78"/>
      <c r="NH21" s="78"/>
      <c r="NI21" s="78"/>
    </row>
    <row r="22" spans="1:373" x14ac:dyDescent="0.2">
      <c r="A22" s="21" t="s">
        <v>7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0"/>
      <c r="DA22" s="80"/>
      <c r="DB22" s="80"/>
      <c r="DC22" s="80"/>
      <c r="DD22" s="80"/>
      <c r="DE22" s="80"/>
      <c r="DF22" s="80"/>
      <c r="DG22" s="80"/>
      <c r="DH22" s="80"/>
      <c r="DI22" s="80"/>
      <c r="DJ22" s="80"/>
      <c r="DK22" s="80"/>
      <c r="DL22" s="80"/>
      <c r="DM22" s="80"/>
      <c r="DN22" s="80"/>
      <c r="DO22" s="80"/>
      <c r="DP22" s="80"/>
      <c r="DQ22" s="80"/>
      <c r="DR22" s="80"/>
      <c r="DS22" s="80"/>
      <c r="DT22" s="80"/>
      <c r="DU22" s="80"/>
      <c r="DV22" s="80"/>
      <c r="DW22" s="80"/>
      <c r="DX22" s="80"/>
      <c r="DY22" s="80"/>
      <c r="DZ22" s="80"/>
      <c r="EA22" s="80"/>
      <c r="EB22" s="80"/>
      <c r="EC22" s="80"/>
      <c r="ED22" s="80"/>
      <c r="EE22" s="80"/>
      <c r="EF22" s="80"/>
      <c r="EG22" s="80"/>
      <c r="EH22" s="80"/>
      <c r="EI22" s="80"/>
      <c r="EJ22" s="80"/>
      <c r="EK22" s="80"/>
      <c r="EL22" s="80"/>
      <c r="EM22" s="80"/>
      <c r="EN22" s="80"/>
      <c r="EO22" s="80"/>
      <c r="EP22" s="80"/>
      <c r="EQ22" s="80"/>
      <c r="ER22" s="80"/>
      <c r="ES22" s="80"/>
      <c r="ET22" s="80"/>
      <c r="EU22" s="80"/>
      <c r="EV22" s="80"/>
      <c r="EW22" s="80"/>
      <c r="EX22" s="80"/>
      <c r="EY22" s="80"/>
      <c r="EZ22" s="80"/>
      <c r="FA22" s="80"/>
      <c r="FB22" s="80"/>
      <c r="FC22" s="80"/>
      <c r="FD22" s="80"/>
      <c r="FE22" s="80"/>
      <c r="FF22" s="80"/>
      <c r="FG22" s="80"/>
      <c r="FH22" s="80"/>
      <c r="FI22" s="80"/>
      <c r="FJ22" s="80"/>
      <c r="FK22" s="80"/>
      <c r="FL22" s="80"/>
      <c r="FM22" s="80"/>
      <c r="FN22" s="80"/>
      <c r="FO22" s="80"/>
      <c r="FP22" s="80"/>
      <c r="FQ22" s="80"/>
      <c r="FR22" s="80"/>
      <c r="FS22" s="80"/>
      <c r="FT22" s="80"/>
      <c r="FU22" s="80"/>
      <c r="FV22" s="80"/>
      <c r="FW22" s="80"/>
      <c r="FX22" s="80"/>
      <c r="FY22" s="80"/>
      <c r="FZ22" s="80"/>
      <c r="GA22" s="80"/>
      <c r="GB22" s="80"/>
      <c r="GC22" s="80"/>
      <c r="GD22" s="80"/>
      <c r="GE22" s="80"/>
      <c r="GF22" s="80"/>
      <c r="GG22" s="80"/>
      <c r="GH22" s="80"/>
      <c r="GI22" s="80"/>
      <c r="GJ22" s="80"/>
      <c r="GK22" s="80"/>
      <c r="GL22" s="80"/>
      <c r="GM22" s="80"/>
      <c r="GN22" s="80"/>
      <c r="GO22" s="80"/>
      <c r="GP22" s="80"/>
      <c r="GQ22" s="80"/>
      <c r="GR22" s="80"/>
      <c r="GS22" s="80"/>
      <c r="GT22" s="80"/>
      <c r="GU22" s="80"/>
      <c r="GV22" s="80"/>
      <c r="GW22" s="80"/>
      <c r="GX22" s="80"/>
      <c r="GY22" s="80"/>
      <c r="GZ22" s="80"/>
      <c r="HA22" s="80"/>
      <c r="HB22" s="80"/>
      <c r="HC22" s="80"/>
      <c r="HD22" s="80"/>
      <c r="HE22" s="80"/>
      <c r="HF22" s="80"/>
      <c r="HG22" s="80"/>
      <c r="HH22" s="80">
        <v>80</v>
      </c>
      <c r="HI22" s="80"/>
      <c r="HJ22" s="80"/>
      <c r="HK22" s="80"/>
      <c r="HL22" s="80"/>
      <c r="HM22" s="80"/>
      <c r="HN22" s="80"/>
      <c r="HO22" s="80"/>
      <c r="HP22" s="80"/>
      <c r="HQ22" s="80"/>
      <c r="HR22" s="80"/>
      <c r="HS22" s="80"/>
      <c r="HT22" s="80"/>
      <c r="HU22" s="80"/>
      <c r="HV22" s="80"/>
      <c r="HW22" s="80"/>
      <c r="HX22" s="80"/>
      <c r="HY22" s="80"/>
      <c r="HZ22" s="80"/>
      <c r="IA22" s="80"/>
      <c r="IB22" s="80"/>
      <c r="IC22" s="80"/>
      <c r="ID22" s="80"/>
      <c r="IE22" s="80"/>
      <c r="IF22" s="80"/>
      <c r="IG22" s="80"/>
      <c r="IH22" s="80"/>
      <c r="II22" s="80"/>
      <c r="IJ22" s="80"/>
      <c r="IK22" s="80"/>
      <c r="IL22" s="80"/>
      <c r="IM22" s="80"/>
      <c r="IN22" s="80"/>
      <c r="IO22" s="80"/>
      <c r="IP22" s="80"/>
      <c r="IQ22" s="80"/>
      <c r="IR22" s="80"/>
      <c r="IS22" s="80"/>
      <c r="IT22" s="80"/>
      <c r="IU22" s="80"/>
      <c r="IV22" s="80"/>
      <c r="IW22" s="80"/>
      <c r="IX22" s="80"/>
      <c r="IY22" s="80"/>
      <c r="IZ22" s="80"/>
      <c r="JA22" s="80"/>
      <c r="JB22" s="80"/>
      <c r="JC22" s="80"/>
      <c r="JD22" s="80"/>
      <c r="JE22" s="80"/>
      <c r="JF22" s="80"/>
      <c r="JG22" s="80"/>
      <c r="JH22" s="80"/>
      <c r="JI22" s="80"/>
      <c r="JJ22" s="80"/>
      <c r="JK22" s="80"/>
      <c r="JL22" s="80"/>
      <c r="JM22" s="80"/>
      <c r="JN22" s="80"/>
      <c r="JO22" s="80"/>
      <c r="JP22" s="80"/>
      <c r="JQ22" s="80"/>
      <c r="JR22" s="80"/>
      <c r="JS22" s="80"/>
      <c r="JT22" s="80"/>
      <c r="JU22" s="80"/>
      <c r="JV22" s="80"/>
      <c r="JW22" s="80"/>
      <c r="JX22" s="80"/>
      <c r="JY22" s="80"/>
      <c r="JZ22" s="80"/>
      <c r="KA22" s="80"/>
      <c r="KB22" s="80"/>
      <c r="KC22" s="80"/>
      <c r="KD22" s="80"/>
      <c r="KE22" s="80"/>
      <c r="KF22" s="80"/>
      <c r="KG22" s="80"/>
      <c r="KH22" s="80"/>
      <c r="KI22" s="80"/>
      <c r="KJ22" s="80"/>
      <c r="KK22" s="80"/>
      <c r="KL22" s="80"/>
      <c r="KM22" s="80"/>
      <c r="KN22" s="80">
        <v>40</v>
      </c>
      <c r="KO22" s="80"/>
      <c r="KP22" s="80"/>
      <c r="KQ22" s="80"/>
      <c r="KR22" s="80"/>
      <c r="KS22" s="80"/>
      <c r="KT22" s="80"/>
      <c r="KU22" s="80"/>
      <c r="KV22" s="80"/>
      <c r="KW22" s="80"/>
      <c r="KX22" s="80"/>
      <c r="KY22" s="80"/>
      <c r="KZ22" s="80"/>
      <c r="LA22" s="80"/>
      <c r="LB22" s="80"/>
      <c r="LC22" s="80"/>
      <c r="LD22" s="80"/>
      <c r="LE22" s="80"/>
      <c r="LF22" s="80"/>
      <c r="LG22" s="80"/>
      <c r="LH22" s="80"/>
      <c r="LI22" s="80"/>
      <c r="LJ22" s="80"/>
      <c r="LK22" s="80"/>
      <c r="LL22" s="80"/>
      <c r="LM22" s="80"/>
      <c r="LN22" s="80"/>
      <c r="LO22" s="80"/>
      <c r="LP22" s="80"/>
      <c r="LQ22" s="80"/>
      <c r="LR22" s="80"/>
      <c r="LS22" s="80"/>
      <c r="LT22" s="80"/>
      <c r="LU22" s="80"/>
      <c r="LV22" s="80"/>
      <c r="LW22" s="80"/>
      <c r="LX22" s="80"/>
      <c r="LY22" s="80"/>
      <c r="LZ22" s="80"/>
      <c r="MA22" s="80"/>
      <c r="MB22" s="80"/>
      <c r="MC22" s="80"/>
      <c r="MD22" s="80"/>
      <c r="ME22" s="80"/>
      <c r="MF22" s="80"/>
      <c r="MG22" s="80"/>
      <c r="MH22" s="80"/>
      <c r="MI22" s="80"/>
      <c r="MJ22" s="80"/>
      <c r="MK22" s="80"/>
      <c r="ML22" s="80"/>
      <c r="MM22" s="80"/>
      <c r="MN22" s="80"/>
      <c r="MO22" s="80"/>
      <c r="MP22" s="80"/>
      <c r="MQ22" s="80"/>
      <c r="MR22" s="80"/>
      <c r="MS22" s="80"/>
      <c r="MT22" s="80"/>
      <c r="MU22" s="80"/>
      <c r="MV22" s="80">
        <v>10</v>
      </c>
      <c r="MW22" s="80"/>
      <c r="MX22" s="80"/>
      <c r="MY22" s="80"/>
      <c r="MZ22" s="80"/>
      <c r="NA22" s="80"/>
      <c r="NB22" s="80"/>
      <c r="NC22" s="80"/>
      <c r="ND22" s="80"/>
      <c r="NE22" s="80"/>
      <c r="NF22" s="80"/>
      <c r="NG22" s="80"/>
      <c r="NH22" s="80"/>
      <c r="NI22" s="80"/>
    </row>
    <row r="23" spans="1:373" s="153" customFormat="1" ht="16" thickBot="1" x14ac:dyDescent="0.25">
      <c r="A23" s="144" t="s">
        <v>14</v>
      </c>
      <c r="B23" s="166">
        <v>340</v>
      </c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>
        <v>107</v>
      </c>
      <c r="S23" s="167"/>
      <c r="T23" s="167">
        <v>133</v>
      </c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>
        <v>484</v>
      </c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  <c r="AP23" s="167"/>
      <c r="AQ23" s="167"/>
      <c r="AR23" s="167"/>
      <c r="AS23" s="167"/>
      <c r="AT23" s="167"/>
      <c r="AU23" s="167"/>
      <c r="AV23" s="167"/>
      <c r="AW23" s="167"/>
      <c r="AX23" s="167"/>
      <c r="AY23" s="167"/>
      <c r="AZ23" s="167"/>
      <c r="BA23" s="167">
        <v>146</v>
      </c>
      <c r="BB23" s="167"/>
      <c r="BC23" s="167"/>
      <c r="BD23" s="167"/>
      <c r="BE23" s="167"/>
      <c r="BF23" s="167"/>
      <c r="BG23" s="167">
        <v>186</v>
      </c>
      <c r="BH23" s="167"/>
      <c r="BI23" s="167"/>
      <c r="BJ23" s="167"/>
      <c r="BK23" s="167">
        <v>250</v>
      </c>
      <c r="BL23" s="167"/>
      <c r="BM23" s="167"/>
      <c r="BN23" s="167"/>
      <c r="BO23" s="167"/>
      <c r="BP23" s="167"/>
      <c r="BQ23" s="167"/>
      <c r="BR23" s="167">
        <v>111</v>
      </c>
      <c r="BS23" s="167"/>
      <c r="BT23" s="167"/>
      <c r="BU23" s="167"/>
      <c r="BV23" s="167"/>
      <c r="BW23" s="167"/>
      <c r="BX23" s="167">
        <v>237</v>
      </c>
      <c r="BY23" s="167"/>
      <c r="BZ23" s="167"/>
      <c r="CA23" s="167"/>
      <c r="CB23" s="167"/>
      <c r="CC23" s="167"/>
      <c r="CD23" s="167"/>
      <c r="CE23" s="167"/>
      <c r="CF23" s="167"/>
      <c r="CG23" s="167"/>
      <c r="CH23" s="167"/>
      <c r="CI23" s="167">
        <v>367</v>
      </c>
      <c r="CJ23" s="167"/>
      <c r="CK23" s="167"/>
      <c r="CL23" s="167"/>
      <c r="CM23" s="167"/>
      <c r="CN23" s="167"/>
      <c r="CO23" s="167"/>
      <c r="CP23" s="167"/>
      <c r="CQ23" s="167">
        <v>137</v>
      </c>
      <c r="CR23" s="167"/>
      <c r="CS23" s="167"/>
      <c r="CT23" s="167"/>
      <c r="CU23" s="167"/>
      <c r="CV23" s="167"/>
      <c r="CW23" s="167">
        <v>393</v>
      </c>
      <c r="CX23" s="167"/>
      <c r="CY23" s="167"/>
      <c r="CZ23" s="167"/>
      <c r="DA23" s="167"/>
      <c r="DB23" s="167"/>
      <c r="DC23" s="167"/>
      <c r="DD23" s="167"/>
      <c r="DE23" s="167"/>
      <c r="DF23" s="167"/>
      <c r="DG23" s="167"/>
      <c r="DH23" s="167"/>
      <c r="DI23" s="167"/>
      <c r="DJ23" s="167"/>
      <c r="DK23" s="167"/>
      <c r="DL23" s="167"/>
      <c r="DM23" s="167"/>
      <c r="DN23" s="167">
        <v>255</v>
      </c>
      <c r="DO23" s="167"/>
      <c r="DP23" s="167"/>
      <c r="DQ23" s="167"/>
      <c r="DR23" s="167"/>
      <c r="DS23" s="167"/>
      <c r="DT23" s="168"/>
      <c r="DU23" s="168"/>
      <c r="DV23" s="168">
        <v>127</v>
      </c>
      <c r="DW23" s="168"/>
      <c r="DX23" s="168"/>
      <c r="DY23" s="168"/>
      <c r="DZ23" s="168"/>
      <c r="EA23" s="168"/>
      <c r="EB23" s="168"/>
      <c r="EC23" s="168">
        <v>127</v>
      </c>
      <c r="ED23" s="168"/>
      <c r="EE23" s="168"/>
      <c r="EF23" s="168"/>
      <c r="EG23" s="168"/>
      <c r="EH23" s="168"/>
      <c r="EI23" s="168"/>
      <c r="EJ23" s="168"/>
      <c r="EK23" s="168"/>
      <c r="EL23" s="168"/>
      <c r="EM23" s="168"/>
      <c r="EN23" s="167"/>
      <c r="EO23" s="167"/>
      <c r="EP23" s="167"/>
      <c r="EQ23" s="167"/>
      <c r="ER23" s="167"/>
      <c r="ES23" s="167"/>
      <c r="ET23" s="167"/>
      <c r="EU23" s="167"/>
      <c r="EV23" s="167">
        <v>112</v>
      </c>
      <c r="EW23" s="167"/>
      <c r="EX23" s="167"/>
      <c r="EY23" s="167"/>
      <c r="EZ23" s="167"/>
      <c r="FA23" s="167">
        <v>142</v>
      </c>
      <c r="FB23" s="167"/>
      <c r="FC23" s="167"/>
      <c r="FD23" s="167"/>
      <c r="FE23" s="167"/>
      <c r="FF23" s="167"/>
      <c r="FG23" s="167"/>
      <c r="FH23" s="167"/>
      <c r="FI23" s="167"/>
      <c r="FJ23" s="167"/>
      <c r="FK23" s="167"/>
      <c r="FL23" s="167"/>
      <c r="FM23" s="167"/>
      <c r="FN23" s="167"/>
      <c r="FO23" s="167"/>
      <c r="FP23" s="167"/>
      <c r="FQ23" s="167"/>
      <c r="FR23" s="167"/>
      <c r="FS23" s="167"/>
      <c r="FT23" s="167"/>
      <c r="FU23" s="167"/>
      <c r="FV23" s="167"/>
      <c r="FW23" s="167"/>
      <c r="FX23" s="167"/>
      <c r="FY23" s="167"/>
      <c r="FZ23" s="167"/>
      <c r="GA23" s="167"/>
      <c r="GB23" s="167"/>
      <c r="GC23" s="167"/>
      <c r="GD23" s="167"/>
      <c r="GE23" s="167"/>
      <c r="GF23" s="167"/>
      <c r="GG23" s="167"/>
      <c r="GH23" s="167"/>
      <c r="GI23" s="167"/>
      <c r="GJ23" s="167"/>
      <c r="GK23" s="167"/>
      <c r="GL23" s="167"/>
      <c r="GM23" s="167"/>
      <c r="GN23" s="167"/>
      <c r="GO23" s="167"/>
      <c r="GP23" s="167"/>
      <c r="GQ23" s="167"/>
      <c r="GR23" s="167"/>
      <c r="GS23" s="167"/>
      <c r="GT23" s="167"/>
      <c r="GU23" s="167"/>
      <c r="GV23" s="167"/>
      <c r="GW23" s="167"/>
      <c r="GX23" s="167"/>
      <c r="GY23" s="167"/>
      <c r="GZ23" s="167"/>
      <c r="HA23" s="167"/>
      <c r="HB23" s="167"/>
      <c r="HC23" s="167"/>
      <c r="HD23" s="167"/>
      <c r="HE23" s="167"/>
      <c r="HF23" s="167"/>
      <c r="HG23" s="167"/>
      <c r="HH23" s="167"/>
      <c r="HI23" s="167"/>
      <c r="HJ23" s="167"/>
      <c r="HK23" s="167"/>
      <c r="HL23" s="167"/>
      <c r="HM23" s="167"/>
      <c r="HN23" s="167"/>
      <c r="HO23" s="167"/>
      <c r="HP23" s="167"/>
      <c r="HQ23" s="167"/>
      <c r="HR23" s="167"/>
      <c r="HS23" s="167"/>
      <c r="HT23" s="167"/>
      <c r="HU23" s="167"/>
      <c r="HV23" s="167"/>
      <c r="HW23" s="167"/>
      <c r="HX23" s="167"/>
      <c r="HY23" s="167"/>
      <c r="HZ23" s="167"/>
      <c r="IA23" s="167"/>
      <c r="IB23" s="167"/>
      <c r="IC23" s="167"/>
      <c r="ID23" s="167"/>
      <c r="IE23" s="167"/>
      <c r="IF23" s="167"/>
      <c r="IG23" s="167"/>
      <c r="IH23" s="167"/>
      <c r="II23" s="167"/>
      <c r="IJ23" s="167"/>
      <c r="IK23" s="167"/>
      <c r="IL23" s="167"/>
      <c r="IM23" s="167"/>
      <c r="IN23" s="167"/>
      <c r="IO23" s="167"/>
      <c r="IP23" s="167"/>
      <c r="IQ23" s="167"/>
      <c r="IR23" s="167">
        <v>192</v>
      </c>
      <c r="IS23" s="167"/>
      <c r="IT23" s="167"/>
      <c r="IU23" s="167"/>
      <c r="IV23" s="167"/>
      <c r="IW23" s="167"/>
      <c r="IX23" s="167"/>
      <c r="IY23" s="167"/>
      <c r="IZ23" s="167"/>
      <c r="JA23" s="167"/>
      <c r="JB23" s="167"/>
      <c r="JC23" s="167"/>
      <c r="JD23" s="167">
        <v>421</v>
      </c>
      <c r="JE23" s="167"/>
      <c r="JF23" s="167"/>
      <c r="JG23" s="167"/>
      <c r="JH23" s="167"/>
      <c r="JI23" s="167"/>
      <c r="JJ23" s="167"/>
      <c r="JK23" s="167"/>
      <c r="JL23" s="167"/>
      <c r="JM23" s="167"/>
      <c r="JN23" s="167"/>
      <c r="JO23" s="167"/>
      <c r="JP23" s="167"/>
      <c r="JQ23" s="167"/>
      <c r="JR23" s="167"/>
      <c r="JS23" s="167"/>
      <c r="JT23" s="167">
        <v>251</v>
      </c>
      <c r="JU23" s="167"/>
      <c r="JV23" s="167"/>
      <c r="JW23" s="167"/>
      <c r="JX23" s="167"/>
      <c r="JY23" s="167"/>
      <c r="JZ23" s="167"/>
      <c r="KA23" s="167"/>
      <c r="KB23" s="167"/>
      <c r="KC23" s="167"/>
      <c r="KD23" s="167"/>
      <c r="KE23" s="167"/>
      <c r="KF23" s="167"/>
      <c r="KG23" s="167"/>
      <c r="KH23" s="167"/>
      <c r="KI23" s="167"/>
      <c r="KJ23" s="167"/>
      <c r="KK23" s="167"/>
      <c r="KL23" s="167"/>
      <c r="KM23" s="167"/>
      <c r="KN23" s="167"/>
      <c r="KO23" s="167"/>
      <c r="KP23" s="167"/>
      <c r="KQ23" s="167"/>
      <c r="KR23" s="167"/>
      <c r="KS23" s="167"/>
      <c r="KT23" s="167"/>
      <c r="KU23" s="167"/>
      <c r="KV23" s="167"/>
      <c r="KW23" s="167"/>
      <c r="KX23" s="167"/>
      <c r="KY23" s="167"/>
      <c r="KZ23" s="167"/>
      <c r="LA23" s="167"/>
      <c r="LB23" s="167"/>
      <c r="LC23" s="167"/>
      <c r="LD23" s="167"/>
      <c r="LE23" s="167"/>
      <c r="LF23" s="167"/>
      <c r="LG23" s="167"/>
      <c r="LH23" s="167"/>
      <c r="LI23" s="167"/>
      <c r="LJ23" s="167"/>
      <c r="LK23" s="167"/>
      <c r="LL23" s="167"/>
      <c r="LM23" s="167"/>
      <c r="LN23" s="167"/>
      <c r="LO23" s="167"/>
      <c r="LP23" s="167"/>
      <c r="LQ23" s="167"/>
      <c r="LR23" s="167"/>
      <c r="LS23" s="167"/>
      <c r="LT23" s="167"/>
      <c r="LU23" s="167"/>
      <c r="LV23" s="167"/>
      <c r="LW23" s="167"/>
      <c r="LX23" s="167"/>
      <c r="LY23" s="167"/>
      <c r="LZ23" s="167"/>
      <c r="MA23" s="167"/>
      <c r="MB23" s="167"/>
      <c r="MC23" s="167"/>
      <c r="MD23" s="167"/>
      <c r="ME23" s="167">
        <v>5</v>
      </c>
      <c r="MF23" s="167"/>
      <c r="MG23" s="167"/>
      <c r="MH23" s="167"/>
      <c r="MI23" s="167"/>
      <c r="MJ23" s="167"/>
      <c r="MK23" s="167"/>
      <c r="ML23" s="169"/>
      <c r="MM23" s="167"/>
      <c r="MN23" s="167"/>
      <c r="MO23" s="167"/>
      <c r="MP23" s="167"/>
      <c r="MQ23" s="167"/>
      <c r="MR23" s="167"/>
      <c r="MS23" s="167"/>
      <c r="MT23" s="167"/>
      <c r="MU23" s="167"/>
      <c r="MV23" s="167"/>
      <c r="MW23" s="167"/>
      <c r="MX23" s="167"/>
      <c r="MY23" s="167"/>
      <c r="MZ23" s="167"/>
      <c r="NA23" s="167"/>
      <c r="NB23" s="167"/>
      <c r="NC23" s="167"/>
      <c r="ND23" s="167">
        <v>316</v>
      </c>
      <c r="NE23" s="167"/>
      <c r="NF23" s="167"/>
      <c r="NG23" s="167"/>
      <c r="NH23" s="167" t="s">
        <v>160</v>
      </c>
      <c r="NI23" s="167"/>
    </row>
    <row r="24" spans="1:373" ht="16" thickBot="1" x14ac:dyDescent="0.25">
      <c r="A24" s="25" t="s">
        <v>137</v>
      </c>
      <c r="B24" s="84">
        <v>1582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>
        <v>841</v>
      </c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>
        <v>375</v>
      </c>
      <c r="BB24" s="83"/>
      <c r="BC24" s="83"/>
      <c r="BD24" s="83"/>
      <c r="BE24" s="83"/>
      <c r="BF24" s="83"/>
      <c r="BG24" s="83">
        <v>280</v>
      </c>
      <c r="BH24" s="83"/>
      <c r="BI24" s="83"/>
      <c r="BJ24" s="83"/>
      <c r="BK24" s="83">
        <v>350</v>
      </c>
      <c r="BL24" s="83"/>
      <c r="BM24" s="83"/>
      <c r="BN24" s="83"/>
      <c r="BO24" s="83"/>
      <c r="BP24" s="83"/>
      <c r="BQ24" s="83"/>
      <c r="BR24" s="83">
        <v>363</v>
      </c>
      <c r="BS24" s="83"/>
      <c r="BT24" s="83"/>
      <c r="BU24" s="83"/>
      <c r="BV24" s="83"/>
      <c r="BW24" s="83"/>
      <c r="BX24" s="83">
        <v>617</v>
      </c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>
        <v>292</v>
      </c>
      <c r="CJ24" s="83">
        <v>522</v>
      </c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3"/>
      <c r="DC24" s="83"/>
      <c r="DD24" s="83">
        <v>993</v>
      </c>
      <c r="DE24" s="83"/>
      <c r="DF24" s="83"/>
      <c r="DG24" s="83"/>
      <c r="DH24" s="83"/>
      <c r="DI24" s="83"/>
      <c r="DJ24" s="83"/>
      <c r="DK24" s="83"/>
      <c r="DL24" s="83"/>
      <c r="DM24" s="83"/>
      <c r="DN24" s="83">
        <v>347</v>
      </c>
      <c r="DO24" s="83"/>
      <c r="DP24" s="83"/>
      <c r="DQ24" s="83"/>
      <c r="DR24" s="83"/>
      <c r="DS24" s="83"/>
      <c r="DT24" s="83"/>
      <c r="DU24" s="83"/>
      <c r="DV24" s="83">
        <v>354</v>
      </c>
      <c r="DW24" s="83"/>
      <c r="DX24" s="83"/>
      <c r="DY24" s="83"/>
      <c r="DZ24" s="83"/>
      <c r="EA24" s="83"/>
      <c r="EB24" s="83"/>
      <c r="EC24" s="83">
        <v>354</v>
      </c>
      <c r="ED24" s="83"/>
      <c r="EE24" s="83"/>
      <c r="EF24" s="83"/>
      <c r="EG24" s="83"/>
      <c r="EH24" s="83"/>
      <c r="EI24" s="83"/>
      <c r="EJ24" s="83"/>
      <c r="EK24" s="83"/>
      <c r="EL24" s="83"/>
      <c r="EM24" s="83"/>
      <c r="EN24" s="83"/>
      <c r="EO24" s="83"/>
      <c r="EP24" s="83"/>
      <c r="EQ24" s="83"/>
      <c r="ER24" s="83"/>
      <c r="ES24" s="83"/>
      <c r="ET24" s="83"/>
      <c r="EU24" s="83"/>
      <c r="EV24" s="83"/>
      <c r="EW24" s="83"/>
      <c r="EX24" s="83"/>
      <c r="EY24" s="83"/>
      <c r="EZ24" s="83"/>
      <c r="FA24" s="83"/>
      <c r="FB24" s="83"/>
      <c r="FC24" s="83"/>
      <c r="FD24" s="83"/>
      <c r="FE24" s="83"/>
      <c r="FF24" s="83"/>
      <c r="FG24" s="83"/>
      <c r="FH24" s="83"/>
      <c r="FI24" s="83"/>
      <c r="FJ24" s="83"/>
      <c r="FK24" s="83"/>
      <c r="FL24" s="83"/>
      <c r="FM24" s="83"/>
      <c r="FN24" s="83"/>
      <c r="FO24" s="83"/>
      <c r="FP24" s="83"/>
      <c r="FQ24" s="83"/>
      <c r="FR24" s="83"/>
      <c r="FS24" s="83"/>
      <c r="FT24" s="83"/>
      <c r="FU24" s="83"/>
      <c r="FV24" s="83"/>
      <c r="FW24" s="83"/>
      <c r="FX24" s="83"/>
      <c r="FY24" s="83"/>
      <c r="FZ24" s="83"/>
      <c r="GA24" s="83"/>
      <c r="GB24" s="83"/>
      <c r="GC24" s="83"/>
      <c r="GD24" s="83"/>
      <c r="GE24" s="83"/>
      <c r="GF24" s="83"/>
      <c r="GG24" s="83"/>
      <c r="GH24" s="83"/>
      <c r="GI24" s="83"/>
      <c r="GJ24" s="83"/>
      <c r="GK24" s="83"/>
      <c r="GL24" s="83"/>
      <c r="GM24" s="83"/>
      <c r="GN24" s="83"/>
      <c r="GO24" s="83"/>
      <c r="GP24" s="83"/>
      <c r="GQ24" s="83"/>
      <c r="GR24" s="83">
        <v>335</v>
      </c>
      <c r="GS24" s="83"/>
      <c r="GT24" s="83"/>
      <c r="GU24" s="83"/>
      <c r="GV24" s="83"/>
      <c r="GW24" s="83"/>
      <c r="GX24" s="83"/>
      <c r="GY24" s="83"/>
      <c r="GZ24" s="83"/>
      <c r="HA24" s="83"/>
      <c r="HB24" s="83"/>
      <c r="HC24" s="83"/>
      <c r="HD24" s="83"/>
      <c r="HE24" s="83"/>
      <c r="HF24" s="83"/>
      <c r="HG24" s="83"/>
      <c r="HH24" s="83">
        <v>372</v>
      </c>
      <c r="HI24" s="83"/>
      <c r="HJ24" s="83"/>
      <c r="HK24" s="83"/>
      <c r="HL24" s="83"/>
      <c r="HM24" s="83"/>
      <c r="HN24" s="83"/>
      <c r="HO24" s="83">
        <v>349</v>
      </c>
      <c r="HP24" s="83"/>
      <c r="HQ24" s="83"/>
      <c r="HR24" s="83"/>
      <c r="HS24" s="83"/>
      <c r="HT24" s="83"/>
      <c r="HU24" s="83"/>
      <c r="HV24" s="83"/>
      <c r="HW24" s="83"/>
      <c r="HX24" s="83"/>
      <c r="HY24" s="83"/>
      <c r="HZ24" s="83"/>
      <c r="IA24" s="83"/>
      <c r="IB24" s="83"/>
      <c r="IC24" s="83">
        <v>1083</v>
      </c>
      <c r="ID24" s="83"/>
      <c r="IE24" s="83"/>
      <c r="IF24" s="83"/>
      <c r="IG24" s="83"/>
      <c r="IH24" s="83"/>
      <c r="II24" s="83"/>
      <c r="IJ24" s="83"/>
      <c r="IK24" s="83"/>
      <c r="IL24" s="83"/>
      <c r="IM24" s="83"/>
      <c r="IN24" s="83"/>
      <c r="IO24" s="83"/>
      <c r="IP24" s="83"/>
      <c r="IQ24" s="83"/>
      <c r="IR24" s="83">
        <v>709</v>
      </c>
      <c r="IS24" s="83"/>
      <c r="IT24" s="83"/>
      <c r="IU24" s="83"/>
      <c r="IV24" s="83"/>
      <c r="IW24" s="83"/>
      <c r="IX24" s="83"/>
      <c r="IY24" s="83"/>
      <c r="IZ24" s="83"/>
      <c r="JA24" s="83"/>
      <c r="JB24" s="83"/>
      <c r="JC24" s="83"/>
      <c r="JD24" s="83">
        <v>23</v>
      </c>
      <c r="JE24" s="83"/>
      <c r="JF24" s="83"/>
      <c r="JG24" s="83"/>
      <c r="JH24" s="83"/>
      <c r="JI24" s="83"/>
      <c r="JJ24" s="83"/>
      <c r="JK24" s="83"/>
      <c r="JL24" s="83"/>
      <c r="JM24" s="83"/>
      <c r="JN24" s="83"/>
      <c r="JO24" s="83"/>
      <c r="JP24" s="83"/>
      <c r="JQ24" s="83"/>
      <c r="JR24" s="83"/>
      <c r="JS24" s="83"/>
      <c r="JT24" s="83">
        <v>1085</v>
      </c>
      <c r="JU24" s="83"/>
      <c r="JV24" s="83"/>
      <c r="JW24" s="83"/>
      <c r="JX24" s="83"/>
      <c r="JY24" s="83"/>
      <c r="JZ24" s="83"/>
      <c r="KA24" s="83"/>
      <c r="KB24" s="83"/>
      <c r="KC24" s="83"/>
      <c r="KD24" s="83"/>
      <c r="KE24" s="83"/>
      <c r="KF24" s="83"/>
      <c r="KG24" s="83"/>
      <c r="KH24" s="83"/>
      <c r="KI24" s="83"/>
      <c r="KJ24" s="83"/>
      <c r="KK24" s="83"/>
      <c r="KL24" s="83"/>
      <c r="KM24" s="83"/>
      <c r="KN24" s="83">
        <v>880</v>
      </c>
      <c r="KO24" s="83"/>
      <c r="KP24" s="83"/>
      <c r="KQ24" s="83"/>
      <c r="KR24" s="83"/>
      <c r="KS24" s="83"/>
      <c r="KT24" s="83"/>
      <c r="KU24" s="83"/>
      <c r="KV24" s="83"/>
      <c r="KW24" s="83"/>
      <c r="KX24" s="83"/>
      <c r="KY24" s="83"/>
      <c r="KZ24" s="83"/>
      <c r="LA24" s="83"/>
      <c r="LB24" s="83"/>
      <c r="LC24" s="83"/>
      <c r="LD24" s="83"/>
      <c r="LE24" s="83"/>
      <c r="LF24" s="83"/>
      <c r="LG24" s="83"/>
      <c r="LH24" s="83"/>
      <c r="LI24" s="83">
        <v>810</v>
      </c>
      <c r="LJ24" s="83">
        <v>0</v>
      </c>
      <c r="LK24" s="83"/>
      <c r="LL24" s="83"/>
      <c r="LM24" s="83"/>
      <c r="LN24" s="83"/>
      <c r="LO24" s="83"/>
      <c r="LP24" s="83"/>
      <c r="LQ24" s="83"/>
      <c r="LR24" s="83"/>
      <c r="LS24" s="83"/>
      <c r="LT24" s="83"/>
      <c r="LU24" s="83"/>
      <c r="LV24" s="83"/>
      <c r="LW24" s="83"/>
      <c r="LX24" s="83"/>
      <c r="LY24" s="83"/>
      <c r="LZ24" s="83"/>
      <c r="MA24" s="83"/>
      <c r="MB24" s="83"/>
      <c r="MC24" s="83"/>
      <c r="MD24" s="83"/>
      <c r="ME24" s="83">
        <v>73</v>
      </c>
      <c r="MF24" s="83"/>
      <c r="MG24" s="83"/>
      <c r="MH24" s="83"/>
      <c r="MI24" s="83"/>
      <c r="MJ24" s="83"/>
      <c r="MK24" s="83"/>
      <c r="ML24" s="83"/>
      <c r="MM24" s="83"/>
      <c r="MN24" s="83"/>
      <c r="MO24" s="83"/>
      <c r="MP24" s="83"/>
      <c r="MQ24" s="83"/>
      <c r="MR24" s="83"/>
      <c r="MS24" s="83"/>
      <c r="MT24" s="83"/>
      <c r="MU24" s="83"/>
      <c r="MV24" s="83">
        <v>33</v>
      </c>
      <c r="MW24" s="83"/>
      <c r="MX24" s="83"/>
      <c r="MY24" s="83"/>
      <c r="MZ24" s="83"/>
      <c r="NA24" s="83"/>
      <c r="NB24" s="83"/>
      <c r="NC24" s="83"/>
      <c r="ND24" s="83"/>
      <c r="NE24" s="83">
        <v>599</v>
      </c>
      <c r="NF24" s="83"/>
      <c r="NG24" s="83"/>
      <c r="NH24" s="83"/>
      <c r="NI24" s="83"/>
    </row>
    <row r="25" spans="1:373" x14ac:dyDescent="0.2">
      <c r="A25" s="23"/>
      <c r="B25" s="77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78"/>
      <c r="DA25" s="78"/>
      <c r="DB25" s="78"/>
      <c r="DC25" s="78"/>
      <c r="DD25" s="78"/>
      <c r="DE25" s="78"/>
      <c r="DF25" s="78"/>
      <c r="DG25" s="78"/>
      <c r="DH25" s="78"/>
      <c r="DI25" s="78"/>
      <c r="DJ25" s="78"/>
      <c r="DK25" s="78"/>
      <c r="DL25" s="78"/>
      <c r="DM25" s="78"/>
      <c r="DN25" s="78"/>
      <c r="DO25" s="78"/>
      <c r="DP25" s="78"/>
      <c r="DQ25" s="78"/>
      <c r="DR25" s="78"/>
      <c r="DS25" s="78"/>
      <c r="DT25" s="78"/>
      <c r="DU25" s="78"/>
      <c r="DV25" s="78"/>
      <c r="DW25" s="78"/>
      <c r="DX25" s="78"/>
      <c r="DY25" s="78"/>
      <c r="DZ25" s="78"/>
      <c r="EA25" s="78"/>
      <c r="EB25" s="78"/>
      <c r="EC25" s="78"/>
      <c r="ED25" s="78"/>
      <c r="EE25" s="78"/>
      <c r="EF25" s="78"/>
      <c r="EG25" s="78"/>
      <c r="EH25" s="78"/>
      <c r="EI25" s="78"/>
      <c r="EJ25" s="78"/>
      <c r="EK25" s="78"/>
      <c r="EL25" s="78"/>
      <c r="EM25" s="78"/>
      <c r="EN25" s="78"/>
      <c r="EO25" s="78"/>
      <c r="EP25" s="78"/>
      <c r="EQ25" s="78"/>
      <c r="ER25" s="78"/>
      <c r="ES25" s="78"/>
      <c r="ET25" s="78"/>
      <c r="EU25" s="78"/>
      <c r="EV25" s="78"/>
      <c r="EW25" s="78"/>
      <c r="EX25" s="78"/>
      <c r="EY25" s="78"/>
      <c r="EZ25" s="78"/>
      <c r="FA25" s="78"/>
      <c r="FB25" s="78"/>
      <c r="FC25" s="78"/>
      <c r="FD25" s="78"/>
      <c r="FE25" s="78"/>
      <c r="FF25" s="78"/>
      <c r="FG25" s="78"/>
      <c r="FH25" s="78"/>
      <c r="FI25" s="78"/>
      <c r="FJ25" s="78"/>
      <c r="FK25" s="78"/>
      <c r="FL25" s="78"/>
      <c r="FM25" s="78"/>
      <c r="FN25" s="78"/>
      <c r="FO25" s="78"/>
      <c r="FP25" s="78"/>
      <c r="FQ25" s="78"/>
      <c r="FR25" s="78"/>
      <c r="FS25" s="78"/>
      <c r="FT25" s="78"/>
      <c r="FU25" s="78"/>
      <c r="FV25" s="78"/>
      <c r="FW25" s="78"/>
      <c r="FX25" s="78"/>
      <c r="FY25" s="78"/>
      <c r="FZ25" s="78"/>
      <c r="GA25" s="78"/>
      <c r="GB25" s="78"/>
      <c r="GC25" s="78"/>
      <c r="GD25" s="78"/>
      <c r="GE25" s="78"/>
      <c r="GF25" s="78"/>
      <c r="GG25" s="78"/>
      <c r="GH25" s="78"/>
      <c r="GI25" s="78"/>
      <c r="GJ25" s="78"/>
      <c r="GK25" s="78"/>
      <c r="GL25" s="78"/>
      <c r="GM25" s="78"/>
      <c r="GN25" s="78"/>
      <c r="GO25" s="78"/>
      <c r="GP25" s="78"/>
      <c r="GQ25" s="78"/>
      <c r="GR25" s="78"/>
      <c r="GS25" s="78"/>
      <c r="GT25" s="78"/>
      <c r="GU25" s="78"/>
      <c r="GV25" s="78"/>
      <c r="GW25" s="78"/>
      <c r="GX25" s="78"/>
      <c r="GY25" s="78"/>
      <c r="GZ25" s="78"/>
      <c r="HA25" s="78"/>
      <c r="HB25" s="78"/>
      <c r="HC25" s="78"/>
      <c r="HD25" s="78"/>
      <c r="HE25" s="78"/>
      <c r="HF25" s="78"/>
      <c r="HG25" s="78"/>
      <c r="HH25" s="78"/>
      <c r="HI25" s="78"/>
      <c r="HJ25" s="78"/>
      <c r="HK25" s="78"/>
      <c r="HL25" s="78"/>
      <c r="HM25" s="78"/>
      <c r="HN25" s="78"/>
      <c r="HO25" s="78"/>
      <c r="HP25" s="78"/>
      <c r="HQ25" s="78"/>
      <c r="HR25" s="78"/>
      <c r="HS25" s="78"/>
      <c r="HT25" s="78"/>
      <c r="HU25" s="78"/>
      <c r="HV25" s="78"/>
      <c r="HW25" s="78"/>
      <c r="HX25" s="78"/>
      <c r="HY25" s="78"/>
      <c r="HZ25" s="78"/>
      <c r="IA25" s="78"/>
      <c r="IB25" s="78"/>
      <c r="IC25" s="78"/>
      <c r="ID25" s="78"/>
      <c r="IE25" s="78"/>
      <c r="IF25" s="78"/>
      <c r="IG25" s="78"/>
      <c r="IH25" s="78"/>
      <c r="II25" s="78"/>
      <c r="IJ25" s="78"/>
      <c r="IK25" s="78"/>
      <c r="IL25" s="78"/>
      <c r="IM25" s="78"/>
      <c r="IN25" s="78"/>
      <c r="IO25" s="78"/>
      <c r="IP25" s="78"/>
      <c r="IQ25" s="78"/>
      <c r="IR25" s="78"/>
      <c r="IS25" s="78"/>
      <c r="IT25" s="78"/>
      <c r="IU25" s="78"/>
      <c r="IV25" s="78"/>
      <c r="IW25" s="78"/>
      <c r="IX25" s="78"/>
      <c r="IY25" s="78"/>
      <c r="IZ25" s="78"/>
      <c r="JA25" s="78"/>
      <c r="JB25" s="78"/>
      <c r="JC25" s="78"/>
      <c r="JD25" s="78"/>
      <c r="JF25" s="78"/>
      <c r="JG25" s="78"/>
      <c r="JH25" s="78"/>
      <c r="JI25" s="78"/>
      <c r="JJ25" s="78"/>
      <c r="JK25" s="78"/>
      <c r="JL25" s="78"/>
      <c r="JM25" s="78"/>
      <c r="JN25" s="78"/>
      <c r="JO25" s="78"/>
      <c r="JP25" s="78"/>
      <c r="JQ25" s="78"/>
      <c r="JR25" s="78"/>
      <c r="JS25" s="78"/>
      <c r="JT25" s="78"/>
      <c r="JU25" s="78"/>
      <c r="JV25" s="78"/>
      <c r="JW25" s="78"/>
      <c r="JX25" s="78"/>
      <c r="JY25" s="78"/>
      <c r="JZ25" s="78"/>
      <c r="KA25" s="78"/>
      <c r="KB25" s="78"/>
      <c r="KC25" s="78"/>
      <c r="KD25" s="78"/>
      <c r="KE25" s="78"/>
      <c r="KF25" s="78"/>
      <c r="KG25" s="78"/>
      <c r="KH25" s="78"/>
      <c r="KI25" s="78"/>
      <c r="KJ25" s="78"/>
      <c r="KK25" s="78"/>
      <c r="KL25" s="78"/>
      <c r="KM25" s="78"/>
      <c r="KN25" s="78"/>
      <c r="KO25" s="78"/>
      <c r="KP25" s="78"/>
      <c r="KQ25" s="78"/>
      <c r="KR25" s="78"/>
      <c r="KS25" s="78"/>
      <c r="KT25" s="78"/>
      <c r="KU25" s="78"/>
      <c r="KV25" s="78"/>
      <c r="KW25" s="78"/>
      <c r="KX25" s="78"/>
      <c r="KY25" s="78"/>
      <c r="KZ25" s="78"/>
      <c r="LA25" s="78"/>
      <c r="LB25" s="78"/>
      <c r="LC25" s="78"/>
      <c r="LD25" s="78"/>
      <c r="LE25" s="78"/>
      <c r="LF25" s="78"/>
      <c r="LG25" s="78"/>
      <c r="LH25" s="78"/>
      <c r="LI25" s="78"/>
      <c r="LJ25" s="78"/>
      <c r="LK25" s="78"/>
      <c r="LL25" s="78"/>
      <c r="LM25" s="78"/>
      <c r="LN25" s="78"/>
      <c r="LO25" s="78"/>
      <c r="LP25" s="78"/>
      <c r="LQ25" s="78"/>
      <c r="LR25" s="78"/>
      <c r="LS25" s="78"/>
      <c r="LT25" s="78"/>
      <c r="LU25" s="78"/>
      <c r="LV25" s="78"/>
      <c r="LW25" s="78"/>
      <c r="LX25" s="78"/>
      <c r="LY25" s="78"/>
      <c r="LZ25" s="78"/>
      <c r="MA25" s="78"/>
      <c r="MB25" s="78"/>
      <c r="MC25" s="78"/>
      <c r="MD25" s="78"/>
      <c r="ME25" s="78"/>
      <c r="MF25" s="78"/>
      <c r="MG25" s="78"/>
      <c r="MH25" s="78"/>
      <c r="MI25" s="78"/>
      <c r="MJ25" s="78"/>
      <c r="MK25" s="78"/>
      <c r="ML25" s="78"/>
      <c r="MM25" s="78"/>
      <c r="MN25" s="78"/>
      <c r="MO25" s="78"/>
      <c r="MP25" s="78"/>
      <c r="MQ25" s="78"/>
      <c r="MR25" s="78"/>
      <c r="MS25" s="78"/>
      <c r="MT25" s="78"/>
      <c r="MU25" s="78"/>
      <c r="MV25" s="78"/>
      <c r="MW25" s="78"/>
      <c r="MX25" s="78"/>
      <c r="MY25" s="78"/>
      <c r="MZ25" s="78"/>
      <c r="NA25" s="78"/>
      <c r="NB25" s="78"/>
      <c r="NC25" s="78"/>
      <c r="ND25" s="78"/>
      <c r="NE25" s="78"/>
      <c r="NF25" s="78"/>
      <c r="NG25" s="78"/>
      <c r="NH25" s="78"/>
      <c r="NI25" s="78"/>
    </row>
    <row r="26" spans="1:373" ht="16" thickBot="1" x14ac:dyDescent="0.25">
      <c r="A26" s="24" t="s">
        <v>91</v>
      </c>
      <c r="B26" s="84">
        <v>22251</v>
      </c>
      <c r="C26" s="83"/>
      <c r="D26" s="83">
        <v>32</v>
      </c>
      <c r="E26" s="83"/>
      <c r="F26" s="83"/>
      <c r="G26" s="83"/>
      <c r="H26" s="83"/>
      <c r="I26" s="83"/>
      <c r="J26" s="83"/>
      <c r="K26" s="83">
        <v>29</v>
      </c>
      <c r="L26" s="83"/>
      <c r="M26" s="83">
        <v>83</v>
      </c>
      <c r="N26" s="83">
        <v>82</v>
      </c>
      <c r="O26" s="83"/>
      <c r="P26" s="83"/>
      <c r="Q26" s="83"/>
      <c r="R26" s="83">
        <v>49</v>
      </c>
      <c r="S26" s="83">
        <v>57</v>
      </c>
      <c r="T26" s="83"/>
      <c r="U26" s="83">
        <v>39</v>
      </c>
      <c r="V26" s="83"/>
      <c r="W26" s="83"/>
      <c r="X26" s="83"/>
      <c r="Y26" s="83">
        <v>39</v>
      </c>
      <c r="Z26" s="83">
        <v>94</v>
      </c>
      <c r="AA26" s="83"/>
      <c r="AB26" s="83">
        <v>68</v>
      </c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>
        <v>40</v>
      </c>
      <c r="AN26" s="83">
        <v>14</v>
      </c>
      <c r="AO26" s="83"/>
      <c r="AP26" s="83"/>
      <c r="AQ26" s="83"/>
      <c r="AR26" s="83"/>
      <c r="AS26" s="83"/>
      <c r="AT26" s="83"/>
      <c r="AU26" s="83">
        <v>42</v>
      </c>
      <c r="AV26" s="83"/>
      <c r="AW26" s="83">
        <v>60</v>
      </c>
      <c r="AX26" s="83"/>
      <c r="AY26" s="83"/>
      <c r="AZ26" s="83"/>
      <c r="BA26" s="83">
        <v>67</v>
      </c>
      <c r="BB26" s="83">
        <v>139</v>
      </c>
      <c r="BC26" s="83"/>
      <c r="BD26" s="83">
        <v>33</v>
      </c>
      <c r="BE26" s="83"/>
      <c r="BF26" s="83"/>
      <c r="BG26" s="83"/>
      <c r="BH26" s="83"/>
      <c r="BI26" s="83">
        <v>30</v>
      </c>
      <c r="BJ26" s="83">
        <v>52</v>
      </c>
      <c r="BK26" s="83"/>
      <c r="BL26" s="83"/>
      <c r="BM26" s="83"/>
      <c r="BN26" s="83"/>
      <c r="BO26" s="83">
        <v>53</v>
      </c>
      <c r="BP26" s="83">
        <v>71</v>
      </c>
      <c r="BQ26" s="83"/>
      <c r="BR26" s="83">
        <v>101</v>
      </c>
      <c r="BS26" s="83"/>
      <c r="BT26" s="83"/>
      <c r="BU26" s="83">
        <v>70</v>
      </c>
      <c r="BV26" s="83">
        <v>38</v>
      </c>
      <c r="BW26" s="83">
        <v>77</v>
      </c>
      <c r="BX26" s="83">
        <v>203</v>
      </c>
      <c r="BY26" s="83"/>
      <c r="BZ26" s="83"/>
      <c r="CA26" s="83"/>
      <c r="CB26" s="83"/>
      <c r="CC26" s="83">
        <v>65</v>
      </c>
      <c r="CD26" s="83">
        <v>100</v>
      </c>
      <c r="CE26" s="83"/>
      <c r="CF26" s="83">
        <v>69</v>
      </c>
      <c r="CG26" s="83"/>
      <c r="CH26" s="83"/>
      <c r="CI26" s="83"/>
      <c r="CJ26" s="83">
        <v>20</v>
      </c>
      <c r="CK26" s="83">
        <v>50</v>
      </c>
      <c r="CL26" s="83">
        <v>200</v>
      </c>
      <c r="CM26" s="83"/>
      <c r="CN26" s="83"/>
      <c r="CO26" s="83"/>
      <c r="CP26" s="83"/>
      <c r="CQ26" s="83"/>
      <c r="CR26" s="83">
        <v>213</v>
      </c>
      <c r="CS26" s="83">
        <v>30</v>
      </c>
      <c r="CT26" s="83"/>
      <c r="CU26" s="83"/>
      <c r="CV26" s="83"/>
      <c r="CW26" s="83"/>
      <c r="CX26" s="83">
        <v>60</v>
      </c>
      <c r="CY26" s="83">
        <v>94</v>
      </c>
      <c r="CZ26" s="83">
        <v>99</v>
      </c>
      <c r="DA26" s="83">
        <v>256</v>
      </c>
      <c r="DB26" s="83"/>
      <c r="DC26" s="83"/>
      <c r="DD26" s="83"/>
      <c r="DE26" s="83">
        <v>110</v>
      </c>
      <c r="DF26" s="83">
        <v>20</v>
      </c>
      <c r="DG26" s="83"/>
      <c r="DH26" s="83"/>
      <c r="DI26" s="83"/>
      <c r="DJ26" s="83"/>
      <c r="DK26" s="83">
        <v>42</v>
      </c>
      <c r="DL26" s="83">
        <v>143</v>
      </c>
      <c r="DM26" s="83">
        <v>81</v>
      </c>
      <c r="DN26" s="83"/>
      <c r="DO26" s="83">
        <v>48</v>
      </c>
      <c r="DP26" s="83"/>
      <c r="DQ26" s="83"/>
      <c r="DR26" s="83"/>
      <c r="DS26" s="83"/>
      <c r="DT26" s="83">
        <v>145</v>
      </c>
      <c r="DU26" s="83">
        <v>190</v>
      </c>
      <c r="DV26" s="83">
        <v>50</v>
      </c>
      <c r="DW26" s="83"/>
      <c r="DX26" s="83"/>
      <c r="DY26" s="83"/>
      <c r="DZ26" s="83">
        <v>175</v>
      </c>
      <c r="EA26" s="83"/>
      <c r="EB26" s="83">
        <v>110</v>
      </c>
      <c r="EC26" s="83"/>
      <c r="ED26" s="83"/>
      <c r="EE26" s="83"/>
      <c r="EF26" s="83"/>
      <c r="EG26" s="83">
        <v>90</v>
      </c>
      <c r="EH26" s="83">
        <v>117</v>
      </c>
      <c r="EI26" s="83"/>
      <c r="EJ26" s="83">
        <v>47</v>
      </c>
      <c r="EK26" s="83"/>
      <c r="EL26" s="83"/>
      <c r="EM26" s="83"/>
      <c r="EN26" s="83">
        <v>79</v>
      </c>
      <c r="EO26" s="83">
        <v>55</v>
      </c>
      <c r="EP26" s="83">
        <v>96</v>
      </c>
      <c r="EQ26" s="83"/>
      <c r="ER26" s="83"/>
      <c r="ES26" s="83"/>
      <c r="ET26" s="83"/>
      <c r="EU26" s="83">
        <v>5</v>
      </c>
      <c r="EV26" s="83"/>
      <c r="EW26" s="83"/>
      <c r="EX26" s="83">
        <v>3</v>
      </c>
      <c r="EY26" s="83"/>
      <c r="EZ26" s="83"/>
      <c r="FA26" s="83"/>
      <c r="FB26" s="83">
        <v>33</v>
      </c>
      <c r="FC26" s="83">
        <v>28</v>
      </c>
      <c r="FD26" s="83">
        <v>84</v>
      </c>
      <c r="FE26" s="83">
        <v>79</v>
      </c>
      <c r="FF26" s="83"/>
      <c r="FG26" s="83"/>
      <c r="FH26" s="83"/>
      <c r="FI26" s="83">
        <v>74</v>
      </c>
      <c r="FJ26" s="83">
        <v>116</v>
      </c>
      <c r="FK26" s="83"/>
      <c r="FL26" s="83">
        <v>29</v>
      </c>
      <c r="FM26" s="83"/>
      <c r="FN26" s="83"/>
      <c r="FO26" s="83">
        <v>121</v>
      </c>
      <c r="FP26" s="83">
        <v>12</v>
      </c>
      <c r="FQ26" s="83">
        <v>76</v>
      </c>
      <c r="FR26" s="83">
        <v>59</v>
      </c>
      <c r="FS26" s="83">
        <v>157</v>
      </c>
      <c r="FT26" s="83"/>
      <c r="FU26" s="83"/>
      <c r="FV26" s="83"/>
      <c r="FW26" s="83"/>
      <c r="FX26" s="83">
        <v>60</v>
      </c>
      <c r="FY26" s="83">
        <v>62</v>
      </c>
      <c r="FZ26" s="83">
        <v>56</v>
      </c>
      <c r="GA26" s="83"/>
      <c r="GB26" s="83"/>
      <c r="GC26" s="83"/>
      <c r="GD26" s="83"/>
      <c r="GE26" s="83">
        <v>200</v>
      </c>
      <c r="GF26" s="83">
        <v>118</v>
      </c>
      <c r="GG26" s="83">
        <v>220</v>
      </c>
      <c r="GH26" s="83"/>
      <c r="GI26" s="83"/>
      <c r="GJ26" s="83">
        <v>91</v>
      </c>
      <c r="GK26" s="83">
        <v>283</v>
      </c>
      <c r="GL26" s="83"/>
      <c r="GM26" s="83">
        <v>135</v>
      </c>
      <c r="GN26" s="83">
        <v>68</v>
      </c>
      <c r="GO26" s="83"/>
      <c r="GP26" s="83"/>
      <c r="GQ26" s="83"/>
      <c r="GR26" s="83">
        <v>116</v>
      </c>
      <c r="GS26" s="83"/>
      <c r="GT26" s="83">
        <v>153</v>
      </c>
      <c r="GU26" s="83"/>
      <c r="GV26" s="83"/>
      <c r="GW26" s="83"/>
      <c r="GX26" s="83"/>
      <c r="GY26" s="83">
        <v>80</v>
      </c>
      <c r="GZ26" s="83">
        <v>82</v>
      </c>
      <c r="HA26" s="83">
        <v>104</v>
      </c>
      <c r="HB26" s="83"/>
      <c r="HC26" s="83"/>
      <c r="HD26" s="83"/>
      <c r="HE26" s="83"/>
      <c r="HF26" s="83">
        <v>52</v>
      </c>
      <c r="HG26" s="83">
        <v>109</v>
      </c>
      <c r="HH26" s="83">
        <v>67</v>
      </c>
      <c r="HI26" s="83">
        <v>226</v>
      </c>
      <c r="HJ26" s="83"/>
      <c r="HK26" s="83"/>
      <c r="HL26" s="83"/>
      <c r="HM26" s="83">
        <v>199</v>
      </c>
      <c r="HN26" s="83">
        <v>122</v>
      </c>
      <c r="HO26" s="83">
        <v>87</v>
      </c>
      <c r="HP26" s="83">
        <v>107</v>
      </c>
      <c r="HQ26" s="83"/>
      <c r="HR26" s="83"/>
      <c r="HS26" s="83">
        <v>234</v>
      </c>
      <c r="HT26" s="83">
        <v>118</v>
      </c>
      <c r="HU26" s="83">
        <v>188</v>
      </c>
      <c r="HV26" s="83">
        <v>180</v>
      </c>
      <c r="HW26" s="83">
        <v>294</v>
      </c>
      <c r="HX26" s="83"/>
      <c r="HY26" s="83"/>
      <c r="HZ26" s="83">
        <v>147</v>
      </c>
      <c r="IA26" s="83">
        <v>21</v>
      </c>
      <c r="IB26" s="83">
        <v>291</v>
      </c>
      <c r="IC26" s="83">
        <v>261</v>
      </c>
      <c r="ID26" s="83">
        <v>135</v>
      </c>
      <c r="IE26" s="83"/>
      <c r="IF26" s="83"/>
      <c r="IG26" s="83">
        <v>184</v>
      </c>
      <c r="IH26" s="83">
        <v>200</v>
      </c>
      <c r="II26" s="83">
        <v>15</v>
      </c>
      <c r="IJ26" s="83">
        <v>225</v>
      </c>
      <c r="IK26" s="83">
        <v>93</v>
      </c>
      <c r="IL26" s="83"/>
      <c r="IM26" s="83"/>
      <c r="IN26" s="83">
        <v>257</v>
      </c>
      <c r="IO26" s="83">
        <v>61</v>
      </c>
      <c r="IP26" s="83">
        <v>174</v>
      </c>
      <c r="IQ26" s="83">
        <v>186</v>
      </c>
      <c r="IR26" s="83">
        <v>428</v>
      </c>
      <c r="IS26" s="83"/>
      <c r="IT26" s="83"/>
      <c r="IU26" s="83">
        <v>220</v>
      </c>
      <c r="IV26" s="83">
        <v>298</v>
      </c>
      <c r="IW26" s="83">
        <v>201</v>
      </c>
      <c r="IX26" s="83">
        <v>440</v>
      </c>
      <c r="IY26" s="83">
        <v>230</v>
      </c>
      <c r="IZ26" s="83">
        <v>319</v>
      </c>
      <c r="JA26" s="83"/>
      <c r="JB26" s="83">
        <v>428</v>
      </c>
      <c r="JC26" s="83">
        <v>161</v>
      </c>
      <c r="JD26" s="83">
        <v>274</v>
      </c>
      <c r="JE26" s="83">
        <v>101</v>
      </c>
      <c r="JF26" s="83"/>
      <c r="JG26" s="83"/>
      <c r="JH26" s="83"/>
      <c r="JI26" s="83">
        <v>494</v>
      </c>
      <c r="JJ26" s="83">
        <v>102</v>
      </c>
      <c r="JK26" s="83">
        <v>318</v>
      </c>
      <c r="JL26" s="83">
        <v>336</v>
      </c>
      <c r="JM26" s="83">
        <v>212</v>
      </c>
      <c r="JN26" s="83">
        <v>590</v>
      </c>
      <c r="JO26" s="83"/>
      <c r="JP26" s="83">
        <v>277</v>
      </c>
      <c r="JQ26" s="83">
        <v>197</v>
      </c>
      <c r="JR26" s="83">
        <v>220</v>
      </c>
      <c r="JS26" s="83">
        <v>350</v>
      </c>
      <c r="JT26" s="83">
        <v>133</v>
      </c>
      <c r="JU26" s="83"/>
      <c r="JV26" s="83"/>
      <c r="JW26" s="83">
        <v>184</v>
      </c>
      <c r="JX26" s="83">
        <v>155</v>
      </c>
      <c r="JY26" s="83">
        <v>306</v>
      </c>
      <c r="JZ26" s="83">
        <v>331</v>
      </c>
      <c r="KA26" s="83">
        <v>37</v>
      </c>
      <c r="KB26" s="83">
        <v>0</v>
      </c>
      <c r="KC26" s="83"/>
      <c r="KD26" s="83"/>
      <c r="KE26" s="83">
        <v>258</v>
      </c>
      <c r="KF26" s="83">
        <v>101</v>
      </c>
      <c r="KG26" s="83">
        <v>121</v>
      </c>
      <c r="KH26" s="83">
        <v>183</v>
      </c>
      <c r="KI26" s="83"/>
      <c r="KJ26" s="83"/>
      <c r="KK26" s="83">
        <v>608</v>
      </c>
      <c r="KL26" s="83">
        <v>281</v>
      </c>
      <c r="KM26" s="83">
        <v>135</v>
      </c>
      <c r="KN26" s="83">
        <v>249</v>
      </c>
      <c r="KO26" s="83">
        <v>235</v>
      </c>
      <c r="KP26" s="83"/>
      <c r="KQ26" s="83"/>
      <c r="KR26" s="83">
        <v>374</v>
      </c>
      <c r="KS26" s="83">
        <v>293</v>
      </c>
      <c r="KT26" s="83">
        <v>257</v>
      </c>
      <c r="KU26" s="83">
        <v>241</v>
      </c>
      <c r="KV26" s="83">
        <v>260</v>
      </c>
      <c r="KW26" s="83"/>
      <c r="KX26" s="83"/>
      <c r="KY26" s="83"/>
      <c r="KZ26" s="83">
        <v>84</v>
      </c>
      <c r="LA26" s="83">
        <v>181</v>
      </c>
      <c r="LB26" s="83">
        <v>269</v>
      </c>
      <c r="LC26" s="83">
        <v>230</v>
      </c>
      <c r="LD26" s="83"/>
      <c r="LE26" s="83"/>
      <c r="LF26" s="83">
        <v>220</v>
      </c>
      <c r="LG26" s="83">
        <v>188</v>
      </c>
      <c r="LH26" s="83">
        <v>369</v>
      </c>
      <c r="LI26" s="83">
        <v>111</v>
      </c>
      <c r="LJ26" s="83">
        <v>240</v>
      </c>
      <c r="LK26" s="83"/>
      <c r="LL26" s="83"/>
      <c r="LM26" s="83"/>
      <c r="LN26" s="83">
        <v>257</v>
      </c>
      <c r="LO26" s="83">
        <v>390</v>
      </c>
      <c r="LP26" s="83">
        <v>140</v>
      </c>
      <c r="LQ26" s="83">
        <v>271</v>
      </c>
      <c r="LR26" s="83"/>
      <c r="LS26" s="83"/>
      <c r="LT26" s="83">
        <v>216</v>
      </c>
      <c r="LU26" s="83">
        <v>385</v>
      </c>
      <c r="LV26" s="83">
        <v>258</v>
      </c>
      <c r="LW26" s="83">
        <v>163</v>
      </c>
      <c r="LX26" s="83">
        <v>175</v>
      </c>
      <c r="LY26" s="83"/>
      <c r="LZ26" s="83"/>
      <c r="MA26" s="83">
        <v>123</v>
      </c>
      <c r="MB26" s="83">
        <v>297</v>
      </c>
      <c r="MC26" s="83">
        <v>307</v>
      </c>
      <c r="MD26" s="83">
        <v>245</v>
      </c>
      <c r="ME26" s="83">
        <v>350</v>
      </c>
      <c r="MF26" s="83"/>
      <c r="MG26" s="83"/>
      <c r="MH26" s="83">
        <v>60</v>
      </c>
      <c r="MI26" s="83">
        <v>159</v>
      </c>
      <c r="MJ26" s="83"/>
      <c r="MK26" s="83">
        <v>400</v>
      </c>
      <c r="ML26" s="83">
        <v>238</v>
      </c>
      <c r="MM26" s="83"/>
      <c r="MN26" s="83"/>
      <c r="MO26" s="83"/>
      <c r="MP26" s="83">
        <v>120</v>
      </c>
      <c r="MQ26" s="83">
        <v>175</v>
      </c>
      <c r="MR26" s="83">
        <v>255</v>
      </c>
      <c r="MS26" s="83"/>
      <c r="MT26" s="83"/>
      <c r="MU26" s="83"/>
      <c r="MV26" s="83">
        <v>139</v>
      </c>
      <c r="MW26" s="83">
        <v>173</v>
      </c>
      <c r="MX26" s="83">
        <v>144</v>
      </c>
      <c r="MY26" s="83">
        <v>147</v>
      </c>
      <c r="MZ26" s="83">
        <v>285</v>
      </c>
      <c r="NA26" s="83"/>
      <c r="NB26" s="83"/>
      <c r="NC26" s="83">
        <v>143</v>
      </c>
      <c r="ND26" s="83">
        <v>133</v>
      </c>
      <c r="NE26" s="83">
        <v>234</v>
      </c>
      <c r="NF26" s="83">
        <v>157</v>
      </c>
      <c r="NG26" s="83">
        <v>220</v>
      </c>
      <c r="NH26" s="83"/>
      <c r="NI26" s="83"/>
    </row>
    <row r="27" spans="1:373" x14ac:dyDescent="0.2">
      <c r="A27" s="20" t="s">
        <v>6</v>
      </c>
      <c r="B27" s="77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8"/>
      <c r="DD27" s="78"/>
      <c r="DE27" s="78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78"/>
      <c r="DQ27" s="78"/>
      <c r="DR27" s="78"/>
      <c r="DS27" s="78"/>
      <c r="DT27" s="78"/>
      <c r="DU27" s="78"/>
      <c r="DV27" s="78"/>
      <c r="DW27" s="78"/>
      <c r="DX27" s="78"/>
      <c r="DY27" s="78"/>
      <c r="DZ27" s="78"/>
      <c r="EA27" s="78"/>
      <c r="EB27" s="78"/>
      <c r="EC27" s="78"/>
      <c r="ED27" s="78"/>
      <c r="EE27" s="78"/>
      <c r="EF27" s="78"/>
      <c r="EG27" s="78"/>
      <c r="EH27" s="78"/>
      <c r="EI27" s="78"/>
      <c r="EJ27" s="78"/>
      <c r="EK27" s="78"/>
      <c r="EL27" s="78"/>
      <c r="EM27" s="78"/>
      <c r="EN27" s="78"/>
      <c r="EO27" s="78"/>
      <c r="EP27" s="78"/>
      <c r="EQ27" s="78"/>
      <c r="ER27" s="78"/>
      <c r="ES27" s="78"/>
      <c r="ET27" s="78"/>
      <c r="EU27" s="78"/>
      <c r="EV27" s="78"/>
      <c r="EW27" s="78"/>
      <c r="EX27" s="78"/>
      <c r="EY27" s="78"/>
      <c r="EZ27" s="78"/>
      <c r="FA27" s="78"/>
      <c r="FB27" s="78"/>
      <c r="FC27" s="78"/>
      <c r="FD27" s="78"/>
      <c r="FE27" s="78"/>
      <c r="FF27" s="78"/>
      <c r="FG27" s="78"/>
      <c r="FH27" s="78"/>
      <c r="FI27" s="78"/>
      <c r="FJ27" s="78"/>
      <c r="FK27" s="78"/>
      <c r="FL27" s="78"/>
      <c r="FM27" s="78"/>
      <c r="FN27" s="78"/>
      <c r="FO27" s="78"/>
      <c r="FP27" s="78"/>
      <c r="FQ27" s="78"/>
      <c r="FR27" s="78"/>
      <c r="FS27" s="78"/>
      <c r="FT27" s="78"/>
      <c r="FU27" s="78"/>
      <c r="FV27" s="78"/>
      <c r="FW27" s="78"/>
      <c r="FX27" s="78"/>
      <c r="FY27" s="78"/>
      <c r="FZ27" s="78"/>
      <c r="GA27" s="78"/>
      <c r="GB27" s="78"/>
      <c r="GC27" s="78"/>
      <c r="GD27" s="78"/>
      <c r="GE27" s="78"/>
      <c r="GF27" s="78"/>
      <c r="GG27" s="78"/>
      <c r="GH27" s="78"/>
      <c r="GI27" s="78"/>
      <c r="GJ27" s="78"/>
      <c r="GK27" s="78"/>
      <c r="GL27" s="78"/>
      <c r="GM27" s="78"/>
      <c r="GN27" s="78"/>
      <c r="GO27" s="78"/>
      <c r="GP27" s="78"/>
      <c r="GQ27" s="78"/>
      <c r="GR27" s="78"/>
      <c r="GS27" s="78"/>
      <c r="GT27" s="78"/>
      <c r="GU27" s="78"/>
      <c r="GV27" s="78"/>
      <c r="GW27" s="78"/>
      <c r="GX27" s="78"/>
      <c r="GY27" s="78"/>
      <c r="GZ27" s="78"/>
      <c r="HA27" s="78"/>
      <c r="HB27" s="78"/>
      <c r="HC27" s="78"/>
      <c r="HD27" s="78"/>
      <c r="HE27" s="78"/>
      <c r="HF27" s="78"/>
      <c r="HG27" s="78"/>
      <c r="HH27" s="78"/>
      <c r="HI27" s="78"/>
      <c r="HJ27" s="78"/>
      <c r="HK27" s="78"/>
      <c r="HL27" s="78"/>
      <c r="HM27" s="78"/>
      <c r="HN27" s="78"/>
      <c r="HO27" s="78"/>
      <c r="HP27" s="78"/>
      <c r="HQ27" s="78"/>
      <c r="HR27" s="78"/>
      <c r="HS27" s="78"/>
      <c r="HT27" s="78"/>
      <c r="HU27" s="78"/>
      <c r="HV27" s="78"/>
      <c r="HW27" s="78"/>
      <c r="HX27" s="78"/>
      <c r="HY27" s="78"/>
      <c r="HZ27" s="78"/>
      <c r="IA27" s="78"/>
      <c r="IB27" s="78"/>
      <c r="IC27" s="78"/>
      <c r="ID27" s="78"/>
      <c r="IE27" s="78"/>
      <c r="IF27" s="78"/>
      <c r="IG27" s="78"/>
      <c r="IH27" s="78"/>
      <c r="II27" s="78"/>
      <c r="IJ27" s="78"/>
      <c r="IK27" s="78"/>
      <c r="IL27" s="78"/>
      <c r="IM27" s="78"/>
      <c r="IN27" s="78"/>
      <c r="IO27" s="78"/>
      <c r="IP27" s="78"/>
      <c r="IQ27" s="78"/>
      <c r="IR27" s="78"/>
      <c r="IS27" s="78"/>
      <c r="IT27" s="78"/>
      <c r="IU27" s="78"/>
      <c r="IV27" s="78"/>
      <c r="IW27" s="78"/>
      <c r="IX27" s="78"/>
      <c r="IY27" s="78"/>
      <c r="IZ27" s="78"/>
      <c r="JA27" s="78"/>
      <c r="JB27" s="78"/>
      <c r="JC27" s="78"/>
      <c r="JD27" s="78"/>
      <c r="JE27" s="78"/>
      <c r="JF27" s="78"/>
      <c r="JG27" s="78"/>
      <c r="JH27" s="78"/>
      <c r="JI27" s="78"/>
      <c r="JJ27" s="78"/>
      <c r="JK27" s="78"/>
      <c r="JL27" s="78"/>
      <c r="JM27" s="78"/>
      <c r="JN27" s="78"/>
      <c r="JO27" s="78"/>
      <c r="JP27" s="78"/>
      <c r="JQ27" s="78"/>
      <c r="JR27" s="78"/>
      <c r="JS27" s="78"/>
      <c r="JT27" s="78"/>
      <c r="JU27" s="78"/>
      <c r="JV27" s="78"/>
      <c r="JW27" s="78"/>
      <c r="JX27" s="78"/>
      <c r="JY27" s="78"/>
      <c r="JZ27" s="78"/>
      <c r="KA27" s="78"/>
      <c r="KB27" s="78"/>
      <c r="KC27" s="78"/>
      <c r="KD27" s="78"/>
      <c r="KE27" s="78"/>
      <c r="KF27" s="78"/>
      <c r="KG27" s="78"/>
      <c r="KH27" s="78"/>
      <c r="KI27" s="78"/>
      <c r="KJ27" s="78"/>
      <c r="KK27" s="78"/>
      <c r="KL27" s="78"/>
      <c r="KM27" s="78"/>
      <c r="KN27" s="78"/>
      <c r="KO27" s="78"/>
      <c r="KP27" s="78"/>
      <c r="KQ27" s="78"/>
      <c r="KR27" s="78"/>
      <c r="KS27" s="78"/>
      <c r="KT27" s="78"/>
      <c r="KU27" s="78"/>
      <c r="KV27" s="78"/>
      <c r="KW27" s="78"/>
      <c r="KX27" s="78"/>
      <c r="KY27" s="78"/>
      <c r="KZ27" s="78"/>
      <c r="LA27" s="78"/>
      <c r="LB27" s="78"/>
      <c r="LC27" s="78"/>
      <c r="LD27" s="78"/>
      <c r="LE27" s="78"/>
      <c r="LF27" s="78"/>
      <c r="LG27" s="78"/>
      <c r="LH27" s="78"/>
      <c r="LI27" s="78"/>
      <c r="LJ27" s="78"/>
      <c r="LK27" s="78"/>
      <c r="LL27" s="78"/>
      <c r="LM27" s="78"/>
      <c r="LN27" s="78"/>
      <c r="LO27" s="78"/>
      <c r="LP27" s="78"/>
      <c r="LQ27" s="78"/>
      <c r="LR27" s="78"/>
      <c r="LS27" s="78"/>
      <c r="LT27" s="78"/>
      <c r="LU27" s="78"/>
      <c r="LV27" s="78"/>
      <c r="LW27" s="78"/>
      <c r="LX27" s="78"/>
      <c r="LY27" s="78"/>
      <c r="LZ27" s="78"/>
      <c r="MA27" s="78"/>
      <c r="MB27" s="78"/>
      <c r="MC27" s="78"/>
      <c r="MD27" s="78"/>
      <c r="ME27" s="78"/>
      <c r="MF27" s="78"/>
      <c r="MG27" s="78"/>
      <c r="MH27" s="78"/>
      <c r="MI27" s="78"/>
      <c r="MJ27" s="78"/>
      <c r="MK27" s="78"/>
      <c r="ML27" s="78"/>
      <c r="MM27" s="78"/>
      <c r="MN27" s="78"/>
      <c r="MO27" s="78"/>
      <c r="MP27" s="78"/>
      <c r="MQ27" s="78"/>
      <c r="MR27" s="78"/>
      <c r="MS27" s="78"/>
      <c r="MT27" s="78"/>
      <c r="MU27" s="78"/>
      <c r="MV27" s="78"/>
      <c r="MW27" s="78"/>
      <c r="MX27" s="78"/>
      <c r="MY27" s="78"/>
      <c r="MZ27" s="78"/>
      <c r="NA27" s="78"/>
      <c r="NB27" s="78"/>
      <c r="NC27" s="78"/>
      <c r="ND27" s="78"/>
      <c r="NE27" s="78"/>
      <c r="NF27" s="78"/>
      <c r="NG27" s="78"/>
      <c r="NH27" s="78"/>
      <c r="NI27" s="78"/>
    </row>
    <row r="28" spans="1:373" ht="16" thickBot="1" x14ac:dyDescent="0.25">
      <c r="A28" s="21" t="s">
        <v>7</v>
      </c>
      <c r="B28" s="79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  <c r="CG28" s="80"/>
      <c r="CH28" s="80"/>
      <c r="CI28" s="80"/>
      <c r="CJ28" s="80"/>
      <c r="CK28" s="80"/>
      <c r="CL28" s="80"/>
      <c r="CM28" s="80"/>
      <c r="CN28" s="80"/>
      <c r="CO28" s="80"/>
      <c r="CP28" s="80"/>
      <c r="CQ28" s="80"/>
      <c r="CR28" s="80"/>
      <c r="CS28" s="80"/>
      <c r="CT28" s="80"/>
      <c r="CU28" s="80"/>
      <c r="CV28" s="80"/>
      <c r="CW28" s="80"/>
      <c r="CX28" s="80"/>
      <c r="CY28" s="80"/>
      <c r="CZ28" s="80"/>
      <c r="DA28" s="80"/>
      <c r="DB28" s="80"/>
      <c r="DC28" s="80"/>
      <c r="DD28" s="80"/>
      <c r="DE28" s="80"/>
      <c r="DF28" s="80"/>
      <c r="DG28" s="80"/>
      <c r="DH28" s="80"/>
      <c r="DI28" s="80"/>
      <c r="DJ28" s="80"/>
      <c r="DK28" s="80"/>
      <c r="DL28" s="80"/>
      <c r="DM28" s="80"/>
      <c r="DN28" s="80"/>
      <c r="DO28" s="80"/>
      <c r="DP28" s="80"/>
      <c r="DQ28" s="80"/>
      <c r="DR28" s="80"/>
      <c r="DS28" s="80"/>
      <c r="DT28" s="80"/>
      <c r="DU28" s="80"/>
      <c r="DV28" s="80"/>
      <c r="DW28" s="80"/>
      <c r="DX28" s="80"/>
      <c r="DY28" s="80"/>
      <c r="DZ28" s="80"/>
      <c r="EA28" s="80"/>
      <c r="EB28" s="80"/>
      <c r="EC28" s="80"/>
      <c r="ED28" s="80"/>
      <c r="EE28" s="80"/>
      <c r="EF28" s="80"/>
      <c r="EG28" s="80"/>
      <c r="EH28" s="80"/>
      <c r="EI28" s="80"/>
      <c r="EJ28" s="80"/>
      <c r="EK28" s="80"/>
      <c r="EL28" s="80"/>
      <c r="EM28" s="80"/>
      <c r="EN28" s="80"/>
      <c r="EO28" s="80"/>
      <c r="EP28" s="80"/>
      <c r="EQ28" s="80"/>
      <c r="ER28" s="80"/>
      <c r="ES28" s="80"/>
      <c r="ET28" s="80"/>
      <c r="EU28" s="80"/>
      <c r="EV28" s="80"/>
      <c r="EW28" s="80"/>
      <c r="EX28" s="80"/>
      <c r="EY28" s="80"/>
      <c r="EZ28" s="80"/>
      <c r="FA28" s="80"/>
      <c r="FB28" s="80"/>
      <c r="FC28" s="80"/>
      <c r="FD28" s="80"/>
      <c r="FE28" s="80"/>
      <c r="FF28" s="80"/>
      <c r="FG28" s="80"/>
      <c r="FH28" s="80"/>
      <c r="FI28" s="80"/>
      <c r="FJ28" s="80"/>
      <c r="FK28" s="80"/>
      <c r="FL28" s="80"/>
      <c r="FM28" s="80"/>
      <c r="FN28" s="80"/>
      <c r="FO28" s="80"/>
      <c r="FP28" s="80"/>
      <c r="FQ28" s="80"/>
      <c r="FR28" s="80"/>
      <c r="FS28" s="80"/>
      <c r="FT28" s="80"/>
      <c r="FU28" s="80"/>
      <c r="FV28" s="80"/>
      <c r="FW28" s="80"/>
      <c r="FX28" s="80"/>
      <c r="FY28" s="80"/>
      <c r="FZ28" s="80"/>
      <c r="GA28" s="80"/>
      <c r="GB28" s="80"/>
      <c r="GC28" s="80"/>
      <c r="GD28" s="80"/>
      <c r="GE28" s="80"/>
      <c r="GF28" s="80"/>
      <c r="GG28" s="80"/>
      <c r="GH28" s="80"/>
      <c r="GI28" s="80"/>
      <c r="GJ28" s="80"/>
      <c r="GK28" s="80"/>
      <c r="GL28" s="80"/>
      <c r="GM28" s="80"/>
      <c r="GN28" s="80"/>
      <c r="GO28" s="80"/>
      <c r="GP28" s="80"/>
      <c r="GQ28" s="80"/>
      <c r="GR28" s="80"/>
      <c r="GS28" s="80"/>
      <c r="GT28" s="80"/>
      <c r="GU28" s="80"/>
      <c r="GV28" s="80"/>
      <c r="GW28" s="80"/>
      <c r="GX28" s="80"/>
      <c r="GY28" s="80"/>
      <c r="GZ28" s="80"/>
      <c r="HA28" s="80"/>
      <c r="HB28" s="80"/>
      <c r="HC28" s="80"/>
      <c r="HD28" s="80"/>
      <c r="HE28" s="80"/>
      <c r="HF28" s="80"/>
      <c r="HG28" s="80"/>
      <c r="HH28" s="80"/>
      <c r="HI28" s="80"/>
      <c r="HJ28" s="80"/>
      <c r="HK28" s="80"/>
      <c r="HL28" s="80"/>
      <c r="HM28" s="80"/>
      <c r="HN28" s="80"/>
      <c r="HO28" s="80"/>
      <c r="HP28" s="80"/>
      <c r="HQ28" s="80"/>
      <c r="HR28" s="80"/>
      <c r="HS28" s="80"/>
      <c r="HT28" s="80"/>
      <c r="HU28" s="80"/>
      <c r="HV28" s="80"/>
      <c r="HW28" s="80"/>
      <c r="HX28" s="80"/>
      <c r="HY28" s="80"/>
      <c r="HZ28" s="80"/>
      <c r="IA28" s="80"/>
      <c r="IB28" s="80"/>
      <c r="IC28" s="80"/>
      <c r="ID28" s="80"/>
      <c r="IE28" s="80"/>
      <c r="IF28" s="80"/>
      <c r="IG28" s="80"/>
      <c r="IH28" s="80"/>
      <c r="II28" s="80"/>
      <c r="IJ28" s="80"/>
      <c r="IK28" s="80"/>
      <c r="IL28" s="80"/>
      <c r="IM28" s="80"/>
      <c r="IN28" s="80"/>
      <c r="IO28" s="80"/>
      <c r="IP28" s="80"/>
      <c r="IQ28" s="80"/>
      <c r="IR28" s="80"/>
      <c r="IS28" s="80"/>
      <c r="IT28" s="80"/>
      <c r="IU28" s="80"/>
      <c r="IV28" s="80"/>
      <c r="IW28" s="80"/>
      <c r="IX28" s="80"/>
      <c r="IY28" s="80"/>
      <c r="IZ28" s="80"/>
      <c r="JA28" s="80"/>
      <c r="JB28" s="80"/>
      <c r="JC28" s="80"/>
      <c r="JD28" s="80"/>
      <c r="JE28" s="80"/>
      <c r="JF28" s="80"/>
      <c r="JG28" s="80"/>
      <c r="JH28" s="80"/>
      <c r="JI28" s="80"/>
      <c r="JJ28" s="80"/>
      <c r="JK28" s="80"/>
      <c r="JL28" s="80"/>
      <c r="JM28" s="80"/>
      <c r="JN28" s="80"/>
      <c r="JO28" s="80"/>
      <c r="JP28" s="80"/>
      <c r="JQ28" s="80"/>
      <c r="JR28" s="80"/>
      <c r="JS28" s="80"/>
      <c r="JT28" s="80"/>
      <c r="JU28" s="80"/>
      <c r="JV28" s="80"/>
      <c r="JW28" s="80"/>
      <c r="JX28" s="80"/>
      <c r="JY28" s="80"/>
      <c r="JZ28" s="80"/>
      <c r="KA28" s="80"/>
      <c r="KB28" s="80"/>
      <c r="KC28" s="80"/>
      <c r="KD28" s="80"/>
      <c r="KE28" s="80"/>
      <c r="KF28" s="80"/>
      <c r="KG28" s="80"/>
      <c r="KH28" s="80"/>
      <c r="KI28" s="80"/>
      <c r="KJ28" s="80"/>
      <c r="KK28" s="80"/>
      <c r="KL28" s="80"/>
      <c r="KM28" s="80"/>
      <c r="KN28" s="80"/>
      <c r="KO28" s="80"/>
      <c r="KP28" s="80"/>
      <c r="KQ28" s="80"/>
      <c r="KR28" s="80"/>
      <c r="KS28" s="80"/>
      <c r="KT28" s="80"/>
      <c r="KU28" s="80"/>
      <c r="KV28" s="80"/>
      <c r="KW28" s="80"/>
      <c r="KX28" s="80"/>
      <c r="KY28" s="80"/>
      <c r="KZ28" s="80"/>
      <c r="LA28" s="80"/>
      <c r="LB28" s="80"/>
      <c r="LC28" s="80"/>
      <c r="LD28" s="80"/>
      <c r="LE28" s="80"/>
      <c r="LF28" s="80"/>
      <c r="LG28" s="80"/>
      <c r="LH28" s="80"/>
      <c r="LI28" s="80"/>
      <c r="LJ28" s="80"/>
      <c r="LK28" s="80"/>
      <c r="LL28" s="80"/>
      <c r="LM28" s="80"/>
      <c r="LN28" s="80"/>
      <c r="LO28" s="80"/>
      <c r="LP28" s="80"/>
      <c r="LQ28" s="80"/>
      <c r="LR28" s="80"/>
      <c r="LS28" s="80"/>
      <c r="LT28" s="80"/>
      <c r="LU28" s="80"/>
      <c r="LV28" s="80"/>
      <c r="LW28" s="80"/>
      <c r="LX28" s="80"/>
      <c r="LY28" s="80"/>
      <c r="LZ28" s="80"/>
      <c r="MA28" s="80"/>
      <c r="MB28" s="80"/>
      <c r="MC28" s="80"/>
      <c r="MD28" s="80"/>
      <c r="ME28" s="80"/>
      <c r="MF28" s="80"/>
      <c r="MG28" s="80"/>
      <c r="MH28" s="80"/>
      <c r="MI28" s="80"/>
      <c r="MJ28" s="80"/>
      <c r="MK28" s="80"/>
      <c r="ML28" s="80"/>
      <c r="MM28" s="80"/>
      <c r="MN28" s="80"/>
      <c r="MO28" s="80"/>
      <c r="MP28" s="80"/>
      <c r="MQ28" s="80"/>
      <c r="MR28" s="80"/>
      <c r="MS28" s="80"/>
      <c r="MT28" s="80"/>
      <c r="MU28" s="80"/>
      <c r="MV28" s="80"/>
      <c r="MW28" s="80"/>
      <c r="MX28" s="80"/>
      <c r="MY28" s="80"/>
      <c r="MZ28" s="80"/>
      <c r="NA28" s="80"/>
      <c r="NB28" s="80"/>
      <c r="NC28" s="80"/>
      <c r="ND28" s="80"/>
      <c r="NE28" s="80"/>
      <c r="NF28" s="80"/>
      <c r="NG28" s="80"/>
      <c r="NH28" s="80"/>
      <c r="NI28" s="80"/>
    </row>
    <row r="29" spans="1:373" ht="16" thickBot="1" x14ac:dyDescent="0.25">
      <c r="A29" s="24" t="s">
        <v>17</v>
      </c>
      <c r="B29" s="88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125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C29" s="83"/>
      <c r="DD29" s="83"/>
      <c r="DE29" s="83"/>
      <c r="DF29" s="83"/>
      <c r="DG29" s="83"/>
      <c r="DH29" s="83"/>
      <c r="DI29" s="83"/>
      <c r="DJ29" s="83"/>
      <c r="DK29" s="83"/>
      <c r="DL29" s="83"/>
      <c r="DM29" s="83"/>
      <c r="DN29" s="83"/>
      <c r="DO29" s="83"/>
      <c r="DP29" s="83"/>
      <c r="DQ29" s="83"/>
      <c r="DR29" s="83"/>
      <c r="DS29" s="83"/>
      <c r="DT29" s="83"/>
      <c r="DU29" s="83"/>
      <c r="DV29" s="83"/>
      <c r="DW29" s="83"/>
      <c r="DX29" s="83"/>
      <c r="DY29" s="83"/>
      <c r="DZ29" s="83"/>
      <c r="EA29" s="83"/>
      <c r="EB29" s="83"/>
      <c r="EC29" s="83"/>
      <c r="ED29" s="83"/>
      <c r="EE29" s="83"/>
      <c r="EF29" s="83"/>
      <c r="EG29" s="83"/>
      <c r="EH29" s="83"/>
      <c r="EI29" s="83"/>
      <c r="EJ29" s="83"/>
      <c r="EK29" s="83"/>
      <c r="EL29" s="83"/>
      <c r="EM29" s="83"/>
      <c r="EN29" s="83"/>
      <c r="EO29" s="83"/>
      <c r="EP29" s="83"/>
      <c r="EQ29" s="83"/>
      <c r="ER29" s="83"/>
      <c r="ES29" s="83"/>
      <c r="ET29" s="83"/>
      <c r="EU29" s="83"/>
      <c r="EV29" s="83"/>
      <c r="EW29" s="83"/>
      <c r="EX29" s="83"/>
      <c r="EY29" s="83"/>
      <c r="EZ29" s="83"/>
      <c r="FA29" s="83"/>
      <c r="FB29" s="83"/>
      <c r="FC29" s="83"/>
      <c r="FD29" s="83"/>
      <c r="FE29" s="83"/>
      <c r="FF29" s="83"/>
      <c r="FG29" s="83"/>
      <c r="FH29" s="83"/>
      <c r="FI29" s="83"/>
      <c r="FJ29" s="83"/>
      <c r="FK29" s="83"/>
      <c r="FL29" s="83"/>
      <c r="FM29" s="83"/>
      <c r="FN29" s="83"/>
      <c r="FO29" s="83"/>
      <c r="FP29" s="83"/>
      <c r="FQ29" s="83"/>
      <c r="FR29" s="83"/>
      <c r="FS29" s="83"/>
      <c r="FT29" s="83"/>
      <c r="FU29" s="83"/>
      <c r="FV29" s="83"/>
      <c r="FW29" s="83"/>
      <c r="FX29" s="83"/>
      <c r="FY29" s="83"/>
      <c r="FZ29" s="83"/>
      <c r="GA29" s="83"/>
      <c r="GB29" s="83"/>
      <c r="GC29" s="83"/>
      <c r="GD29" s="83"/>
      <c r="GE29" s="83"/>
      <c r="GF29" s="83"/>
      <c r="GG29" s="83"/>
      <c r="GH29" s="83"/>
      <c r="GI29" s="83"/>
      <c r="GJ29" s="83"/>
      <c r="GK29" s="83"/>
      <c r="GL29" s="83"/>
      <c r="GM29" s="83"/>
      <c r="GN29" s="83"/>
      <c r="GO29" s="83"/>
      <c r="GP29" s="83"/>
      <c r="GQ29" s="83"/>
      <c r="GR29" s="83"/>
      <c r="GS29" s="83"/>
      <c r="GT29" s="83"/>
      <c r="GU29" s="83"/>
      <c r="GV29" s="83"/>
      <c r="GW29" s="83"/>
      <c r="GX29" s="83"/>
      <c r="GY29" s="83"/>
      <c r="GZ29" s="83"/>
      <c r="HA29" s="83"/>
      <c r="HB29" s="83"/>
      <c r="HC29" s="83"/>
      <c r="HD29" s="83"/>
      <c r="HE29" s="83"/>
      <c r="HF29" s="83"/>
      <c r="HG29" s="83"/>
      <c r="HH29" s="83"/>
      <c r="HI29" s="83"/>
      <c r="HJ29" s="83"/>
      <c r="HK29" s="83"/>
      <c r="HL29" s="83"/>
      <c r="HM29" s="83"/>
      <c r="HN29" s="83"/>
      <c r="HO29" s="83"/>
      <c r="HP29" s="83"/>
      <c r="HQ29" s="83"/>
      <c r="HR29" s="83"/>
      <c r="HS29" s="83"/>
      <c r="HT29" s="83"/>
      <c r="HU29" s="83"/>
      <c r="HV29" s="83"/>
      <c r="HW29" s="83"/>
      <c r="HX29" s="83"/>
      <c r="HY29" s="83"/>
      <c r="HZ29" s="83"/>
      <c r="IA29" s="83"/>
      <c r="IB29" s="83"/>
      <c r="IC29" s="83"/>
      <c r="ID29" s="83"/>
      <c r="IE29" s="83"/>
      <c r="IF29" s="83"/>
      <c r="IG29" s="83"/>
      <c r="IH29" s="83"/>
      <c r="II29" s="83"/>
      <c r="IJ29" s="83"/>
      <c r="IK29" s="83"/>
      <c r="IL29" s="83"/>
      <c r="IM29" s="83"/>
      <c r="IN29" s="83"/>
      <c r="IO29" s="83"/>
      <c r="IP29" s="83"/>
      <c r="IQ29" s="83"/>
      <c r="IR29" s="83"/>
      <c r="IS29" s="83"/>
      <c r="IT29" s="83"/>
      <c r="IU29" s="83"/>
      <c r="IV29" s="83"/>
      <c r="IW29" s="83"/>
      <c r="IX29" s="83"/>
      <c r="IY29" s="83"/>
      <c r="IZ29" s="83"/>
      <c r="JA29" s="83"/>
      <c r="JB29" s="83"/>
      <c r="JC29" s="83"/>
      <c r="JD29" s="83"/>
      <c r="JE29" s="78"/>
      <c r="JF29" s="83"/>
      <c r="JG29" s="83"/>
      <c r="JH29" s="83"/>
      <c r="JI29" s="83"/>
      <c r="JJ29" s="83"/>
      <c r="JK29" s="83"/>
      <c r="JL29" s="83"/>
      <c r="JM29" s="83"/>
      <c r="JN29" s="83"/>
      <c r="JO29" s="83"/>
      <c r="JP29" s="83"/>
      <c r="JQ29" s="83"/>
      <c r="JR29" s="83"/>
      <c r="JS29" s="83"/>
      <c r="JT29" s="83"/>
      <c r="JU29" s="83"/>
      <c r="JV29" s="83"/>
      <c r="JW29" s="83"/>
      <c r="JX29" s="83"/>
      <c r="JY29" s="83"/>
      <c r="JZ29" s="83"/>
      <c r="KA29" s="83"/>
      <c r="KB29" s="83"/>
      <c r="KC29" s="83"/>
      <c r="KD29" s="83"/>
      <c r="KE29" s="83"/>
      <c r="KF29" s="83"/>
      <c r="KG29" s="83"/>
      <c r="KH29" s="83"/>
      <c r="KI29" s="83"/>
      <c r="KJ29" s="83"/>
      <c r="KK29" s="83"/>
      <c r="KL29" s="83"/>
      <c r="KM29" s="83"/>
      <c r="KN29" s="83"/>
      <c r="KO29" s="83"/>
      <c r="KP29" s="83"/>
      <c r="KQ29" s="83"/>
      <c r="KR29" s="83"/>
      <c r="KS29" s="83"/>
      <c r="KT29" s="83"/>
      <c r="KU29" s="83"/>
      <c r="KV29" s="83"/>
      <c r="KW29" s="83"/>
      <c r="KX29" s="83"/>
      <c r="KY29" s="83"/>
      <c r="KZ29" s="83"/>
      <c r="LA29" s="83"/>
      <c r="LB29" s="83"/>
      <c r="LC29" s="83"/>
      <c r="LD29" s="83"/>
      <c r="LE29" s="83"/>
      <c r="LF29" s="83"/>
      <c r="LG29" s="83"/>
      <c r="LH29" s="83"/>
      <c r="LI29" s="83"/>
      <c r="LJ29" s="83"/>
      <c r="LK29" s="83"/>
      <c r="LL29" s="83"/>
      <c r="LM29" s="83"/>
      <c r="LN29" s="83"/>
      <c r="LO29" s="83"/>
      <c r="LP29" s="83"/>
      <c r="LQ29" s="83"/>
      <c r="LR29" s="83"/>
      <c r="LS29" s="83"/>
      <c r="LT29" s="83"/>
      <c r="LU29" s="83"/>
      <c r="LV29" s="83"/>
      <c r="LW29" s="83"/>
      <c r="LX29" s="83"/>
      <c r="LY29" s="83"/>
      <c r="LZ29" s="83"/>
      <c r="MA29" s="83"/>
      <c r="MB29" s="83"/>
      <c r="MC29" s="83"/>
      <c r="MD29" s="83"/>
      <c r="ME29" s="83"/>
      <c r="MF29" s="83"/>
      <c r="MG29" s="83"/>
      <c r="MH29" s="83"/>
      <c r="MI29" s="83"/>
      <c r="MJ29" s="83"/>
      <c r="MK29" s="83"/>
      <c r="ML29" s="83"/>
      <c r="MM29" s="83"/>
      <c r="MN29" s="83"/>
      <c r="MO29" s="83"/>
      <c r="MP29" s="83"/>
      <c r="MQ29" s="83"/>
      <c r="MR29" s="83"/>
      <c r="MS29" s="83"/>
      <c r="MT29" s="83"/>
      <c r="MU29" s="83"/>
      <c r="MV29" s="83"/>
      <c r="MW29" s="83"/>
      <c r="MX29" s="83"/>
      <c r="MY29" s="83"/>
      <c r="MZ29" s="83"/>
      <c r="NA29" s="83"/>
      <c r="NB29" s="83"/>
      <c r="NC29" s="83"/>
      <c r="ND29" s="83"/>
      <c r="NE29" s="83"/>
      <c r="NF29" s="83"/>
      <c r="NG29" s="83"/>
      <c r="NH29" s="83"/>
      <c r="NI29" s="83"/>
    </row>
    <row r="30" spans="1:373" x14ac:dyDescent="0.2">
      <c r="A30" s="20" t="s">
        <v>18</v>
      </c>
      <c r="B30" s="89"/>
      <c r="C30" s="78"/>
      <c r="D30" s="78"/>
      <c r="E30" s="78"/>
      <c r="F30" s="78"/>
      <c r="G30" s="78"/>
      <c r="H30" s="78"/>
      <c r="I30" s="78"/>
      <c r="J30" s="78"/>
      <c r="K30" s="78">
        <v>38</v>
      </c>
      <c r="L30" s="78">
        <v>35</v>
      </c>
      <c r="M30" s="78"/>
      <c r="N30" s="78"/>
      <c r="O30" s="78"/>
      <c r="P30" s="78"/>
      <c r="Q30" s="78"/>
      <c r="R30" s="78">
        <v>13</v>
      </c>
      <c r="S30" s="78">
        <v>26</v>
      </c>
      <c r="T30" s="78"/>
      <c r="U30" s="78">
        <v>9</v>
      </c>
      <c r="V30" s="78"/>
      <c r="W30" s="78"/>
      <c r="X30" s="78"/>
      <c r="Y30" s="78">
        <v>12</v>
      </c>
      <c r="Z30" s="78">
        <v>25</v>
      </c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>
        <v>22</v>
      </c>
      <c r="AN30" s="78">
        <v>10</v>
      </c>
      <c r="AO30" s="78"/>
      <c r="AP30" s="78">
        <v>9</v>
      </c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>
        <v>25</v>
      </c>
      <c r="BB30" s="78">
        <v>30</v>
      </c>
      <c r="BC30" s="78"/>
      <c r="BD30" s="78"/>
      <c r="BE30" s="78"/>
      <c r="BF30" s="78"/>
      <c r="BG30" s="78"/>
      <c r="BH30" s="78">
        <v>15</v>
      </c>
      <c r="BI30" s="78">
        <v>11</v>
      </c>
      <c r="BJ30" s="78"/>
      <c r="BK30" s="78"/>
      <c r="BL30" s="78"/>
      <c r="BM30" s="78"/>
      <c r="BN30" s="78"/>
      <c r="BO30" s="78">
        <v>22</v>
      </c>
      <c r="BP30" s="78"/>
      <c r="BQ30" s="78"/>
      <c r="BR30" s="78"/>
      <c r="BS30" s="78"/>
      <c r="BT30" s="78"/>
      <c r="BU30" s="78">
        <v>13</v>
      </c>
      <c r="BV30" s="78">
        <v>20</v>
      </c>
      <c r="BW30" s="78">
        <v>27</v>
      </c>
      <c r="BX30" s="78"/>
      <c r="BY30" s="78"/>
      <c r="BZ30" s="78"/>
      <c r="CA30" s="78"/>
      <c r="CB30" s="78"/>
      <c r="CC30" s="78">
        <v>14</v>
      </c>
      <c r="CD30" s="78">
        <v>20</v>
      </c>
      <c r="CE30" s="78"/>
      <c r="CF30" s="78"/>
      <c r="CG30" s="78"/>
      <c r="CH30" s="78"/>
      <c r="CI30" s="78"/>
      <c r="CJ30" s="78">
        <v>10</v>
      </c>
      <c r="CK30" s="78">
        <v>12</v>
      </c>
      <c r="CL30" s="78"/>
      <c r="CM30" s="78"/>
      <c r="CN30" s="78"/>
      <c r="CO30" s="78"/>
      <c r="CP30" s="78"/>
      <c r="CQ30" s="78"/>
      <c r="CR30" s="78"/>
      <c r="CS30" s="78"/>
      <c r="CT30" s="78"/>
      <c r="CU30" s="78"/>
      <c r="CV30" s="78"/>
      <c r="CW30" s="78"/>
      <c r="CX30" s="78"/>
      <c r="CY30" s="78"/>
      <c r="CZ30" s="78"/>
      <c r="DA30" s="78"/>
      <c r="DB30" s="78"/>
      <c r="DC30" s="78"/>
      <c r="DD30" s="78"/>
      <c r="DE30" s="78">
        <v>15</v>
      </c>
      <c r="DF30" s="78">
        <v>10</v>
      </c>
      <c r="DG30" s="78"/>
      <c r="DH30" s="78"/>
      <c r="DI30" s="78"/>
      <c r="DJ30" s="78"/>
      <c r="DK30" s="78">
        <v>48</v>
      </c>
      <c r="DL30" s="78">
        <v>33</v>
      </c>
      <c r="DM30" s="78">
        <v>10</v>
      </c>
      <c r="DN30" s="78"/>
      <c r="DO30" s="78"/>
      <c r="DP30" s="78"/>
      <c r="DQ30" s="78"/>
      <c r="DR30" s="78"/>
      <c r="DS30" s="78"/>
      <c r="DT30" s="78">
        <v>48</v>
      </c>
      <c r="DU30" s="78">
        <v>12</v>
      </c>
      <c r="DV30" s="78"/>
      <c r="DW30" s="78"/>
      <c r="DX30" s="78"/>
      <c r="DY30" s="78"/>
      <c r="DZ30" s="78">
        <v>35</v>
      </c>
      <c r="EA30" s="78"/>
      <c r="EB30" s="78">
        <v>10</v>
      </c>
      <c r="EC30" s="78"/>
      <c r="ED30" s="78"/>
      <c r="EE30" s="78"/>
      <c r="EF30" s="78"/>
      <c r="EG30" s="78">
        <v>13</v>
      </c>
      <c r="EH30" s="78">
        <v>10</v>
      </c>
      <c r="EI30" s="78"/>
      <c r="EJ30" s="78"/>
      <c r="EK30" s="78"/>
      <c r="EL30" s="78"/>
      <c r="EM30" s="78"/>
      <c r="EN30" s="78">
        <v>8</v>
      </c>
      <c r="EO30" s="78"/>
      <c r="EP30" s="78">
        <v>15</v>
      </c>
      <c r="EQ30" s="78"/>
      <c r="ER30" s="78"/>
      <c r="ES30" s="78"/>
      <c r="ET30" s="78"/>
      <c r="EU30" s="78">
        <v>25</v>
      </c>
      <c r="EV30" s="78"/>
      <c r="EW30" s="78"/>
      <c r="EX30" s="78">
        <v>15</v>
      </c>
      <c r="EY30" s="78"/>
      <c r="EZ30" s="78"/>
      <c r="FA30" s="78"/>
      <c r="FB30" s="78">
        <v>45</v>
      </c>
      <c r="FC30" s="78">
        <v>60</v>
      </c>
      <c r="FD30" s="78">
        <v>40</v>
      </c>
      <c r="FE30" s="78">
        <v>15</v>
      </c>
      <c r="FF30" s="78"/>
      <c r="FG30" s="78"/>
      <c r="FH30" s="78"/>
      <c r="FI30" s="78">
        <v>35</v>
      </c>
      <c r="FJ30" s="78">
        <v>10</v>
      </c>
      <c r="FK30" s="78"/>
      <c r="FL30" s="78">
        <v>35</v>
      </c>
      <c r="FM30" s="78"/>
      <c r="FN30" s="78"/>
      <c r="FO30" s="78"/>
      <c r="FP30" s="78">
        <v>10</v>
      </c>
      <c r="FQ30" s="78">
        <v>5</v>
      </c>
      <c r="FR30" s="78">
        <v>30</v>
      </c>
      <c r="FS30" s="78">
        <v>40</v>
      </c>
      <c r="FT30" s="78"/>
      <c r="FU30" s="78"/>
      <c r="FV30" s="78"/>
      <c r="FW30" s="78"/>
      <c r="FX30" s="78"/>
      <c r="FY30" s="78"/>
      <c r="FZ30" s="78"/>
      <c r="GA30" s="78"/>
      <c r="GB30" s="78"/>
      <c r="GC30" s="78"/>
      <c r="GD30" s="78"/>
      <c r="GE30" s="78"/>
      <c r="GF30" s="78"/>
      <c r="GG30" s="78"/>
      <c r="GH30" s="78"/>
      <c r="GI30" s="78"/>
      <c r="GJ30" s="78"/>
      <c r="GK30" s="78"/>
      <c r="GL30" s="78"/>
      <c r="GM30" s="78">
        <v>10</v>
      </c>
      <c r="GN30" s="78">
        <v>25</v>
      </c>
      <c r="GO30" s="78"/>
      <c r="GP30" s="78"/>
      <c r="GQ30" s="78">
        <v>25</v>
      </c>
      <c r="GR30" s="78"/>
      <c r="GS30" s="78"/>
      <c r="GT30" s="78">
        <v>37</v>
      </c>
      <c r="GU30" s="78"/>
      <c r="GV30" s="78"/>
      <c r="GW30" s="78"/>
      <c r="GX30" s="78">
        <v>34</v>
      </c>
      <c r="GY30" s="78">
        <v>32</v>
      </c>
      <c r="GZ30" s="78">
        <v>10</v>
      </c>
      <c r="HA30" s="78">
        <v>10</v>
      </c>
      <c r="HB30" s="78"/>
      <c r="HC30" s="78"/>
      <c r="HD30" s="78"/>
      <c r="HE30" s="78"/>
      <c r="HF30" s="78"/>
      <c r="HG30" s="78"/>
      <c r="HH30" s="78"/>
      <c r="HI30" s="78"/>
      <c r="HJ30" s="78"/>
      <c r="HK30" s="78"/>
      <c r="HL30" s="78"/>
      <c r="HM30" s="78">
        <v>20</v>
      </c>
      <c r="HN30" s="78"/>
      <c r="HO30" s="78"/>
      <c r="HP30" s="78"/>
      <c r="HQ30" s="78"/>
      <c r="HR30" s="78"/>
      <c r="HS30" s="78"/>
      <c r="HT30" s="78">
        <v>27</v>
      </c>
      <c r="HU30" s="78"/>
      <c r="HV30" s="78">
        <v>28</v>
      </c>
      <c r="HW30" s="78"/>
      <c r="HX30" s="78"/>
      <c r="HY30" s="78"/>
      <c r="HZ30" s="78"/>
      <c r="IA30" s="78"/>
      <c r="IB30" s="78"/>
      <c r="IC30" s="78">
        <v>55</v>
      </c>
      <c r="ID30" s="78">
        <v>11</v>
      </c>
      <c r="IE30" s="78"/>
      <c r="IF30" s="78"/>
      <c r="IG30" s="78"/>
      <c r="IH30" s="78">
        <v>20</v>
      </c>
      <c r="II30" s="78"/>
      <c r="IJ30" s="78"/>
      <c r="IK30" s="78">
        <v>18</v>
      </c>
      <c r="IL30" s="78"/>
      <c r="IM30" s="78"/>
      <c r="IN30" s="78"/>
      <c r="IO30" s="78"/>
      <c r="IP30" s="78"/>
      <c r="IQ30" s="78">
        <v>45</v>
      </c>
      <c r="IR30" s="78"/>
      <c r="IS30" s="78"/>
      <c r="IT30" s="78"/>
      <c r="IU30" s="78"/>
      <c r="IV30" s="78"/>
      <c r="IW30" s="78">
        <v>27</v>
      </c>
      <c r="IX30" s="78"/>
      <c r="IY30" s="78">
        <v>40</v>
      </c>
      <c r="IZ30" s="78"/>
      <c r="JA30" s="78"/>
      <c r="JB30" s="78"/>
      <c r="JC30" s="78">
        <v>15</v>
      </c>
      <c r="JD30" s="78">
        <v>10</v>
      </c>
      <c r="JE30" s="78"/>
      <c r="JF30" s="78"/>
      <c r="JG30" s="78"/>
      <c r="JH30" s="78"/>
      <c r="JI30" s="78">
        <v>15</v>
      </c>
      <c r="JJ30" s="78"/>
      <c r="JK30" s="78">
        <v>10</v>
      </c>
      <c r="JL30" s="78"/>
      <c r="JM30" s="78"/>
      <c r="JN30" s="78"/>
      <c r="JO30" s="78"/>
      <c r="JP30" s="78"/>
      <c r="JQ30" s="78">
        <v>11</v>
      </c>
      <c r="JR30" s="78"/>
      <c r="JS30" s="78"/>
      <c r="JT30" s="78">
        <v>19</v>
      </c>
      <c r="JU30" s="78"/>
      <c r="JV30" s="78"/>
      <c r="JW30" s="78"/>
      <c r="JX30" s="78">
        <v>30</v>
      </c>
      <c r="JY30" s="78"/>
      <c r="JZ30" s="78">
        <v>35</v>
      </c>
      <c r="KA30" s="78"/>
      <c r="KB30" s="78"/>
      <c r="KC30" s="78"/>
      <c r="KD30" s="78"/>
      <c r="KE30" s="78"/>
      <c r="KF30" s="78"/>
      <c r="KG30" s="78">
        <v>17</v>
      </c>
      <c r="KH30" s="78"/>
      <c r="KI30" s="78"/>
      <c r="KJ30" s="78"/>
      <c r="KK30" s="78"/>
      <c r="KL30" s="78"/>
      <c r="KM30" s="78"/>
      <c r="KN30" s="78">
        <v>15</v>
      </c>
      <c r="KO30" s="78"/>
      <c r="KP30" s="78"/>
      <c r="KQ30" s="78"/>
      <c r="KR30" s="78">
        <v>25</v>
      </c>
      <c r="KS30" s="78">
        <v>30</v>
      </c>
      <c r="KT30" s="78"/>
      <c r="KU30" s="78"/>
      <c r="KV30" s="78"/>
      <c r="KW30" s="78"/>
      <c r="KX30" s="78"/>
      <c r="KY30" s="78"/>
      <c r="KZ30" s="78"/>
      <c r="LA30" s="78">
        <v>55</v>
      </c>
      <c r="LB30" s="78"/>
      <c r="LC30" s="78">
        <v>18</v>
      </c>
      <c r="LD30" s="78"/>
      <c r="LE30" s="78"/>
      <c r="LF30" s="78">
        <v>15</v>
      </c>
      <c r="LG30" s="78">
        <v>10</v>
      </c>
      <c r="LH30" s="78">
        <v>6</v>
      </c>
      <c r="LI30" s="78"/>
      <c r="LJ30" s="78"/>
      <c r="LK30" s="78"/>
      <c r="LL30" s="78"/>
      <c r="LM30" s="78"/>
      <c r="LN30" s="78">
        <v>20</v>
      </c>
      <c r="LO30" s="78"/>
      <c r="LP30" s="78">
        <v>15</v>
      </c>
      <c r="LQ30" s="78">
        <v>40</v>
      </c>
      <c r="LR30" s="78"/>
      <c r="LS30" s="78"/>
      <c r="LT30" s="78"/>
      <c r="LU30" s="78"/>
      <c r="LV30" s="78">
        <v>18</v>
      </c>
      <c r="LW30" s="78"/>
      <c r="LX30" s="78">
        <v>60</v>
      </c>
      <c r="LY30" s="78"/>
      <c r="LZ30" s="78"/>
      <c r="MA30" s="78"/>
      <c r="MB30" s="78">
        <v>40</v>
      </c>
      <c r="MC30" s="78"/>
      <c r="MD30" s="78">
        <v>25</v>
      </c>
      <c r="ME30" s="78"/>
      <c r="MF30" s="78"/>
      <c r="MG30" s="78"/>
      <c r="MH30" s="78"/>
      <c r="MI30" s="78">
        <v>35</v>
      </c>
      <c r="MJ30" s="78"/>
      <c r="MK30" s="78">
        <v>20</v>
      </c>
      <c r="ML30" s="78"/>
      <c r="MM30" s="78"/>
      <c r="MN30" s="78"/>
      <c r="MO30" s="78"/>
      <c r="MP30" s="78"/>
      <c r="MQ30" s="78"/>
      <c r="MR30" s="78">
        <v>15</v>
      </c>
      <c r="MS30" s="78"/>
      <c r="MT30" s="78"/>
      <c r="MU30" s="78"/>
      <c r="MV30" s="78">
        <v>25</v>
      </c>
      <c r="MW30" s="78"/>
      <c r="MX30" s="78"/>
      <c r="MY30" s="78"/>
      <c r="MZ30" s="78"/>
      <c r="NA30" s="78"/>
      <c r="NB30" s="78"/>
      <c r="NC30" s="78"/>
      <c r="ND30" s="78">
        <v>25</v>
      </c>
      <c r="NE30" s="78"/>
      <c r="NF30" s="78">
        <v>35</v>
      </c>
      <c r="NG30" s="78"/>
      <c r="NH30" s="78"/>
      <c r="NI30" s="78"/>
    </row>
    <row r="31" spans="1:373" x14ac:dyDescent="0.2">
      <c r="A31" s="26" t="s">
        <v>19</v>
      </c>
      <c r="B31" s="81">
        <v>7</v>
      </c>
      <c r="C31" s="90"/>
      <c r="D31" s="90"/>
      <c r="E31" s="90">
        <v>116</v>
      </c>
      <c r="F31" s="90"/>
      <c r="G31" s="90"/>
      <c r="H31" s="90"/>
      <c r="I31" s="90"/>
      <c r="J31" s="90"/>
      <c r="K31" s="90"/>
      <c r="L31" s="90"/>
      <c r="M31" s="90"/>
      <c r="N31" s="90">
        <v>93</v>
      </c>
      <c r="O31" s="90"/>
      <c r="P31" s="90"/>
      <c r="Q31" s="90"/>
      <c r="R31" s="90"/>
      <c r="S31" s="90"/>
      <c r="T31" s="90"/>
      <c r="U31" s="90">
        <v>107</v>
      </c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>
        <v>85</v>
      </c>
      <c r="AH31" s="90"/>
      <c r="AI31" s="90"/>
      <c r="AJ31" s="90"/>
      <c r="AK31" s="90"/>
      <c r="AL31" s="90">
        <v>85</v>
      </c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90">
        <v>69</v>
      </c>
      <c r="AY31" s="90"/>
      <c r="AZ31" s="90"/>
      <c r="BA31" s="90"/>
      <c r="BB31" s="90"/>
      <c r="BC31" s="90"/>
      <c r="BD31" s="90"/>
      <c r="BE31" s="90"/>
      <c r="BF31" s="90"/>
      <c r="BG31" s="90"/>
      <c r="BH31" s="90"/>
      <c r="BI31" s="90"/>
      <c r="BJ31" s="90">
        <v>84</v>
      </c>
      <c r="BK31" s="90"/>
      <c r="BL31" s="90"/>
      <c r="BM31" s="90"/>
      <c r="BN31" s="90"/>
      <c r="BO31" s="90"/>
      <c r="BP31" s="90"/>
      <c r="BQ31" s="90"/>
      <c r="BR31" s="90"/>
      <c r="BS31" s="90"/>
      <c r="BT31" s="90"/>
      <c r="BU31" s="90">
        <v>123</v>
      </c>
      <c r="BV31" s="90"/>
      <c r="BW31" s="90"/>
      <c r="BX31" s="90"/>
      <c r="BY31" s="90"/>
      <c r="BZ31" s="90"/>
      <c r="CA31" s="90"/>
      <c r="CB31" s="90"/>
      <c r="CC31" s="90"/>
      <c r="CD31" s="90"/>
      <c r="CE31" s="90"/>
      <c r="CF31" s="90"/>
      <c r="CG31" s="90"/>
      <c r="CH31" s="90"/>
      <c r="CI31" s="90"/>
      <c r="CJ31" s="90"/>
      <c r="CK31" s="90"/>
      <c r="CL31" s="90"/>
      <c r="CM31" s="90"/>
      <c r="CN31" s="90"/>
      <c r="CO31" s="90"/>
      <c r="CP31" s="90">
        <v>140</v>
      </c>
      <c r="CQ31" s="90"/>
      <c r="CR31" s="90"/>
      <c r="CS31" s="90"/>
      <c r="CT31" s="90"/>
      <c r="CU31" s="90"/>
      <c r="CV31" s="90"/>
      <c r="CW31" s="90"/>
      <c r="CX31" s="90"/>
      <c r="CY31" s="90"/>
      <c r="CZ31" s="90"/>
      <c r="DA31" s="90"/>
      <c r="DB31" s="90"/>
      <c r="DC31" s="90"/>
      <c r="DD31" s="90"/>
      <c r="DE31" s="90"/>
      <c r="DF31" s="90"/>
      <c r="DG31" s="90"/>
      <c r="DH31" s="90">
        <v>119</v>
      </c>
      <c r="DI31" s="90"/>
      <c r="DJ31" s="90"/>
      <c r="DK31" s="90"/>
      <c r="DL31" s="90"/>
      <c r="DM31" s="90"/>
      <c r="DN31" s="90"/>
      <c r="DO31" s="90"/>
      <c r="DP31" s="90"/>
      <c r="DQ31" s="90"/>
      <c r="DR31" s="90"/>
      <c r="DS31" s="90">
        <v>144</v>
      </c>
      <c r="DT31" s="90"/>
      <c r="DU31" s="90"/>
      <c r="DV31" s="90"/>
      <c r="DW31" s="90"/>
      <c r="DX31" s="90"/>
      <c r="DY31" s="90"/>
      <c r="DZ31" s="90"/>
      <c r="EA31" s="90"/>
      <c r="EB31" s="90"/>
      <c r="EC31" s="90"/>
      <c r="ED31" s="90"/>
      <c r="EE31" s="90"/>
      <c r="EF31" s="90"/>
      <c r="EG31" s="90"/>
      <c r="EH31" s="90"/>
      <c r="EI31" s="90"/>
      <c r="EJ31" s="90"/>
      <c r="EK31" s="90"/>
      <c r="EL31" s="90"/>
      <c r="EM31" s="90">
        <v>113</v>
      </c>
      <c r="EN31" s="90"/>
      <c r="EO31" s="90">
        <v>57</v>
      </c>
      <c r="EP31" s="90"/>
      <c r="EQ31" s="90"/>
      <c r="ER31" s="90"/>
      <c r="ES31" s="90"/>
      <c r="ET31" s="90"/>
      <c r="EU31" s="90"/>
      <c r="EV31" s="90"/>
      <c r="EW31" s="90">
        <v>10</v>
      </c>
      <c r="EX31" s="90">
        <v>78</v>
      </c>
      <c r="EY31" s="90"/>
      <c r="EZ31" s="90"/>
      <c r="FA31" s="90"/>
      <c r="FB31" s="90">
        <v>52</v>
      </c>
      <c r="FC31" s="90"/>
      <c r="FD31" s="90"/>
      <c r="FE31" s="90"/>
      <c r="FF31" s="90"/>
      <c r="FG31" s="90"/>
      <c r="FH31" s="90"/>
      <c r="FI31" s="90"/>
      <c r="FJ31" s="90"/>
      <c r="FK31" s="90">
        <v>130</v>
      </c>
      <c r="FL31" s="90"/>
      <c r="FM31" s="90"/>
      <c r="FN31" s="90"/>
      <c r="FO31" s="90"/>
      <c r="FP31" s="90"/>
      <c r="FQ31" s="90"/>
      <c r="FR31" s="90"/>
      <c r="FS31" s="90"/>
      <c r="FT31" s="90"/>
      <c r="FU31" s="90"/>
      <c r="FV31" s="90"/>
      <c r="FW31" s="90"/>
      <c r="FX31" s="90"/>
      <c r="FY31" s="90"/>
      <c r="FZ31" s="90"/>
      <c r="GA31" s="90"/>
      <c r="GB31" s="90"/>
      <c r="GC31" s="90"/>
      <c r="GD31" s="90"/>
      <c r="GE31" s="90"/>
      <c r="GF31" s="90"/>
      <c r="GG31" s="90"/>
      <c r="GH31" s="90"/>
      <c r="GI31" s="90"/>
      <c r="GJ31" s="90"/>
      <c r="GK31" s="90"/>
      <c r="GL31" s="90"/>
      <c r="GM31" s="90"/>
      <c r="GN31" s="90"/>
      <c r="GO31" s="90"/>
      <c r="GP31" s="90"/>
      <c r="GQ31" s="90"/>
      <c r="GR31" s="90"/>
      <c r="GS31" s="90"/>
      <c r="GT31" s="90"/>
      <c r="GU31" s="90"/>
      <c r="GV31" s="90"/>
      <c r="GW31" s="90"/>
      <c r="GX31" s="90"/>
      <c r="GY31" s="90"/>
      <c r="GZ31" s="90"/>
      <c r="HA31" s="90">
        <v>412</v>
      </c>
      <c r="HB31" s="90"/>
      <c r="HC31" s="90"/>
      <c r="HD31" s="90"/>
      <c r="HE31" s="90">
        <v>225</v>
      </c>
      <c r="HF31" s="90"/>
      <c r="HG31" s="90"/>
      <c r="HH31" s="90"/>
      <c r="HI31" s="90"/>
      <c r="HJ31" s="90"/>
      <c r="HK31" s="90"/>
      <c r="HL31" s="90"/>
      <c r="HM31" s="90"/>
      <c r="HN31" s="90"/>
      <c r="HO31" s="90"/>
      <c r="HP31" s="90"/>
      <c r="HQ31" s="90"/>
      <c r="HR31" s="90"/>
      <c r="HS31" s="90"/>
      <c r="HT31" s="90"/>
      <c r="HU31" s="90"/>
      <c r="HV31" s="90"/>
      <c r="HW31" s="90"/>
      <c r="HX31" s="90"/>
      <c r="HY31" s="90"/>
      <c r="HZ31" s="90"/>
      <c r="IA31" s="90"/>
      <c r="IB31" s="90"/>
      <c r="IC31" s="90"/>
      <c r="ID31" s="90"/>
      <c r="IE31" s="90"/>
      <c r="IF31" s="90"/>
      <c r="IG31" s="90">
        <v>251</v>
      </c>
      <c r="IH31" s="90"/>
      <c r="II31" s="90"/>
      <c r="IJ31" s="90"/>
      <c r="IK31" s="90"/>
      <c r="IL31" s="90"/>
      <c r="IM31" s="90"/>
      <c r="IN31" s="90"/>
      <c r="IO31" s="90"/>
      <c r="IP31" s="90"/>
      <c r="IQ31" s="90"/>
      <c r="IR31" s="90"/>
      <c r="IS31" s="90"/>
      <c r="IT31" s="90"/>
      <c r="IU31" s="90"/>
      <c r="IV31" s="90"/>
      <c r="IW31" s="90">
        <v>202</v>
      </c>
      <c r="IX31" s="90"/>
      <c r="IY31" s="90"/>
      <c r="IZ31" s="90"/>
      <c r="JA31" s="90"/>
      <c r="JB31" s="90"/>
      <c r="JC31" s="90"/>
      <c r="JD31" s="90"/>
      <c r="JE31" s="90"/>
      <c r="JF31" s="90"/>
      <c r="JG31" s="90"/>
      <c r="JH31" s="90"/>
      <c r="JI31" s="90"/>
      <c r="JJ31" s="90"/>
      <c r="JK31" s="90"/>
      <c r="JL31" s="90"/>
      <c r="JM31" s="90"/>
      <c r="JN31" s="90"/>
      <c r="JO31" s="90"/>
      <c r="JP31" s="90"/>
      <c r="JQ31" s="90"/>
      <c r="JR31" s="90">
        <v>248</v>
      </c>
      <c r="JS31" s="90"/>
      <c r="JT31" s="90"/>
      <c r="JU31" s="90"/>
      <c r="JV31" s="90"/>
      <c r="JW31" s="90"/>
      <c r="JX31" s="90"/>
      <c r="JY31" s="90"/>
      <c r="JZ31" s="90"/>
      <c r="KA31" s="90"/>
      <c r="KB31" s="90"/>
      <c r="KC31" s="90"/>
      <c r="KD31" s="90"/>
      <c r="KE31" s="90">
        <v>206</v>
      </c>
      <c r="KF31" s="90"/>
      <c r="KG31" s="90"/>
      <c r="KH31" s="90"/>
      <c r="KI31" s="90"/>
      <c r="KJ31" s="90"/>
      <c r="KK31" s="90"/>
      <c r="KL31" s="90"/>
      <c r="KM31" s="90"/>
      <c r="KN31" s="90"/>
      <c r="KO31" s="90"/>
      <c r="KP31" s="90"/>
      <c r="KQ31" s="90"/>
      <c r="KR31" s="90"/>
      <c r="KS31" s="90"/>
      <c r="KT31" s="90">
        <v>169</v>
      </c>
      <c r="KU31" s="90"/>
      <c r="KV31" s="90"/>
      <c r="KW31" s="90"/>
      <c r="KX31" s="90"/>
      <c r="KY31" s="90"/>
      <c r="KZ31" s="90"/>
      <c r="LA31" s="90">
        <v>133</v>
      </c>
      <c r="LB31" s="90"/>
      <c r="LC31" s="90"/>
      <c r="LD31" s="90"/>
      <c r="LE31" s="90"/>
      <c r="LF31" s="90"/>
      <c r="LG31" s="90"/>
      <c r="LH31" s="90"/>
      <c r="LI31" s="90">
        <v>127</v>
      </c>
      <c r="LJ31" s="90"/>
      <c r="LK31" s="90"/>
      <c r="LL31" s="90"/>
      <c r="LM31" s="90"/>
      <c r="LN31" s="90"/>
      <c r="LO31" s="90"/>
      <c r="LP31" s="90"/>
      <c r="LQ31" s="90"/>
      <c r="LR31" s="90"/>
      <c r="LS31" s="90"/>
      <c r="LT31" s="90"/>
      <c r="LU31" s="90">
        <v>134</v>
      </c>
      <c r="LV31" s="90"/>
      <c r="LW31" s="90"/>
      <c r="LX31" s="90"/>
      <c r="LY31" s="90"/>
      <c r="LZ31" s="90"/>
      <c r="MA31" s="90"/>
      <c r="MB31" s="90"/>
      <c r="MC31" s="90"/>
      <c r="MD31" s="90"/>
      <c r="ME31" s="90">
        <v>199</v>
      </c>
      <c r="MF31" s="90"/>
      <c r="MG31" s="90"/>
      <c r="MH31" s="90"/>
      <c r="MI31" s="90"/>
      <c r="MJ31" s="90"/>
      <c r="MK31" s="90"/>
      <c r="ML31" s="90"/>
      <c r="MM31" s="90"/>
      <c r="MN31" s="90"/>
      <c r="MO31" s="90"/>
      <c r="MP31" s="90">
        <v>224</v>
      </c>
      <c r="MQ31" s="90"/>
      <c r="MR31" s="90"/>
      <c r="MS31" s="90"/>
      <c r="MT31" s="90"/>
      <c r="MU31" s="90"/>
      <c r="MV31" s="90"/>
      <c r="MW31" s="90"/>
      <c r="MX31" s="90"/>
      <c r="MY31" s="90"/>
      <c r="MZ31" s="90"/>
      <c r="NA31" s="90"/>
      <c r="NB31" s="90"/>
      <c r="NC31" s="90"/>
      <c r="ND31" s="90"/>
      <c r="NE31" s="90"/>
      <c r="NF31" s="90"/>
      <c r="NG31" s="90"/>
      <c r="NH31" s="90"/>
      <c r="NI31" s="90"/>
    </row>
    <row r="32" spans="1:373" x14ac:dyDescent="0.2">
      <c r="A32" s="26" t="s">
        <v>20</v>
      </c>
      <c r="B32" s="81"/>
      <c r="C32" s="90"/>
      <c r="D32" s="90"/>
      <c r="E32" s="90"/>
      <c r="F32" s="90">
        <v>41</v>
      </c>
      <c r="G32" s="90"/>
      <c r="H32" s="90"/>
      <c r="I32" s="90"/>
      <c r="J32" s="90"/>
      <c r="K32" s="90"/>
      <c r="L32" s="90"/>
      <c r="M32" s="90"/>
      <c r="N32" s="90"/>
      <c r="O32" s="90">
        <v>64</v>
      </c>
      <c r="P32" s="90"/>
      <c r="Q32" s="90"/>
      <c r="R32" s="90"/>
      <c r="S32" s="90"/>
      <c r="T32" s="90">
        <v>83</v>
      </c>
      <c r="U32" s="90"/>
      <c r="V32" s="90"/>
      <c r="W32" s="90"/>
      <c r="X32" s="90">
        <v>39</v>
      </c>
      <c r="Y32" s="90"/>
      <c r="Z32" s="90"/>
      <c r="AA32" s="90"/>
      <c r="AB32" s="90">
        <v>41</v>
      </c>
      <c r="AC32" s="90"/>
      <c r="AD32" s="90"/>
      <c r="AE32" s="90"/>
      <c r="AF32" s="90">
        <v>41</v>
      </c>
      <c r="AG32" s="90"/>
      <c r="AH32" s="90"/>
      <c r="AI32" s="90">
        <v>33</v>
      </c>
      <c r="AJ32" s="90"/>
      <c r="AK32" s="90"/>
      <c r="AL32" s="90">
        <v>21</v>
      </c>
      <c r="AM32" s="90"/>
      <c r="AN32" s="90"/>
      <c r="AO32" s="90"/>
      <c r="AP32" s="90">
        <v>10</v>
      </c>
      <c r="AQ32" s="90"/>
      <c r="AR32" s="90"/>
      <c r="AS32" s="90"/>
      <c r="AT32" s="90"/>
      <c r="AU32" s="90"/>
      <c r="AV32" s="90"/>
      <c r="AW32" s="90">
        <v>58</v>
      </c>
      <c r="AX32" s="90"/>
      <c r="AY32" s="90"/>
      <c r="AZ32" s="90"/>
      <c r="BA32" s="90"/>
      <c r="BB32" s="90"/>
      <c r="BC32" s="90"/>
      <c r="BD32" s="90">
        <v>21</v>
      </c>
      <c r="BE32" s="90"/>
      <c r="BF32" s="90"/>
      <c r="BG32" s="90">
        <v>40</v>
      </c>
      <c r="BH32" s="90"/>
      <c r="BI32" s="90"/>
      <c r="BJ32" s="90">
        <v>29</v>
      </c>
      <c r="BK32" s="90"/>
      <c r="BL32" s="90"/>
      <c r="BM32" s="90"/>
      <c r="BN32" s="90"/>
      <c r="BO32" s="90"/>
      <c r="BP32" s="90"/>
      <c r="BQ32" s="90"/>
      <c r="BR32" s="90">
        <v>41</v>
      </c>
      <c r="BS32" s="90"/>
      <c r="BT32" s="90"/>
      <c r="BU32" s="90"/>
      <c r="BV32" s="90"/>
      <c r="BW32" s="90"/>
      <c r="BX32" s="90">
        <v>47</v>
      </c>
      <c r="BY32" s="90"/>
      <c r="BZ32" s="90"/>
      <c r="CA32" s="90"/>
      <c r="CB32" s="90"/>
      <c r="CC32" s="90"/>
      <c r="CD32" s="90"/>
      <c r="CE32" s="90"/>
      <c r="CF32" s="90">
        <v>20</v>
      </c>
      <c r="CG32" s="90"/>
      <c r="CH32" s="90"/>
      <c r="CI32" s="90"/>
      <c r="CJ32" s="90"/>
      <c r="CK32" s="90">
        <v>46</v>
      </c>
      <c r="CL32" s="90"/>
      <c r="CM32" s="90"/>
      <c r="CN32" s="90"/>
      <c r="CO32" s="90"/>
      <c r="CP32" s="90"/>
      <c r="CQ32" s="90"/>
      <c r="CR32" s="90">
        <v>40</v>
      </c>
      <c r="CS32" s="90">
        <v>20</v>
      </c>
      <c r="CT32" s="90"/>
      <c r="CU32" s="90"/>
      <c r="CV32" s="90"/>
      <c r="CW32" s="90"/>
      <c r="CX32" s="90"/>
      <c r="CY32" s="90"/>
      <c r="CZ32" s="90"/>
      <c r="DA32" s="90"/>
      <c r="DB32" s="90"/>
      <c r="DC32" s="90"/>
      <c r="DD32" s="90"/>
      <c r="DE32" s="90"/>
      <c r="DF32" s="90">
        <v>19</v>
      </c>
      <c r="DG32" s="90"/>
      <c r="DH32" s="90">
        <v>15</v>
      </c>
      <c r="DI32" s="90"/>
      <c r="DJ32" s="90"/>
      <c r="DK32" s="90"/>
      <c r="DL32" s="90">
        <v>31</v>
      </c>
      <c r="DM32" s="90"/>
      <c r="DN32" s="90"/>
      <c r="DO32" s="90">
        <v>35</v>
      </c>
      <c r="DP32" s="90"/>
      <c r="DQ32" s="90"/>
      <c r="DR32" s="90"/>
      <c r="DS32" s="90">
        <v>52</v>
      </c>
      <c r="DT32" s="90"/>
      <c r="DU32" s="90"/>
      <c r="DV32" s="90"/>
      <c r="DW32" s="90"/>
      <c r="DX32" s="90"/>
      <c r="DY32" s="90">
        <v>55</v>
      </c>
      <c r="DZ32" s="90"/>
      <c r="EA32" s="90"/>
      <c r="EB32" s="90"/>
      <c r="EC32" s="90">
        <v>26</v>
      </c>
      <c r="ED32" s="90"/>
      <c r="EE32" s="90"/>
      <c r="EF32" s="90"/>
      <c r="EG32" s="90"/>
      <c r="EH32" s="90"/>
      <c r="EI32" s="90">
        <v>40</v>
      </c>
      <c r="EJ32" s="90"/>
      <c r="EK32" s="90"/>
      <c r="EL32" s="90"/>
      <c r="EM32" s="90"/>
      <c r="EN32" s="90">
        <v>45</v>
      </c>
      <c r="EO32" s="90"/>
      <c r="EP32" s="90">
        <v>86</v>
      </c>
      <c r="EQ32" s="90"/>
      <c r="ER32" s="90"/>
      <c r="ES32" s="90"/>
      <c r="ET32" s="90"/>
      <c r="EU32" s="90"/>
      <c r="EV32" s="90">
        <v>30</v>
      </c>
      <c r="EW32" s="90">
        <v>30</v>
      </c>
      <c r="EX32" s="90">
        <v>20</v>
      </c>
      <c r="EY32" s="90"/>
      <c r="EZ32" s="90"/>
      <c r="FA32" s="90"/>
      <c r="FB32" s="90">
        <v>66</v>
      </c>
      <c r="FC32" s="90"/>
      <c r="FD32" s="90"/>
      <c r="FE32" s="90">
        <v>40</v>
      </c>
      <c r="FF32" s="90"/>
      <c r="FG32" s="90"/>
      <c r="FH32" s="90"/>
      <c r="FI32" s="90">
        <v>43</v>
      </c>
      <c r="FJ32" s="90">
        <v>30</v>
      </c>
      <c r="FK32" s="90"/>
      <c r="FL32" s="90">
        <v>68</v>
      </c>
      <c r="FM32" s="90"/>
      <c r="FN32" s="90"/>
      <c r="FO32" s="90">
        <v>100</v>
      </c>
      <c r="FP32" s="90"/>
      <c r="FQ32" s="90"/>
      <c r="FR32" s="90"/>
      <c r="FS32" s="90">
        <v>28</v>
      </c>
      <c r="FT32" s="90"/>
      <c r="FU32" s="90"/>
      <c r="FV32" s="90"/>
      <c r="FW32" s="90">
        <v>15</v>
      </c>
      <c r="FX32" s="90"/>
      <c r="FY32" s="90">
        <v>25</v>
      </c>
      <c r="FZ32" s="90">
        <v>57</v>
      </c>
      <c r="GA32" s="90"/>
      <c r="GB32" s="90"/>
      <c r="GC32" s="90"/>
      <c r="GD32" s="90"/>
      <c r="GE32" s="90"/>
      <c r="GF32" s="90">
        <v>50</v>
      </c>
      <c r="GG32" s="90">
        <v>39</v>
      </c>
      <c r="GH32" s="90"/>
      <c r="GI32" s="90"/>
      <c r="GJ32" s="90"/>
      <c r="GK32" s="90"/>
      <c r="GL32" s="90">
        <v>47</v>
      </c>
      <c r="GM32" s="90">
        <v>50</v>
      </c>
      <c r="GN32" s="90">
        <v>81</v>
      </c>
      <c r="GO32" s="90"/>
      <c r="GP32" s="90"/>
      <c r="GQ32" s="90">
        <v>43</v>
      </c>
      <c r="GR32" s="90"/>
      <c r="GS32" s="90">
        <v>20</v>
      </c>
      <c r="GT32" s="90">
        <v>50</v>
      </c>
      <c r="GU32" s="90"/>
      <c r="GV32" s="90"/>
      <c r="GW32" s="90"/>
      <c r="GX32" s="90">
        <v>50</v>
      </c>
      <c r="GY32" s="90"/>
      <c r="GZ32" s="90">
        <v>40</v>
      </c>
      <c r="HA32" s="90"/>
      <c r="HB32" s="90">
        <v>40</v>
      </c>
      <c r="HC32" s="90">
        <v>35</v>
      </c>
      <c r="HD32" s="90"/>
      <c r="HE32" s="90">
        <v>49</v>
      </c>
      <c r="HF32" s="90"/>
      <c r="HG32" s="90">
        <v>33</v>
      </c>
      <c r="HH32" s="90"/>
      <c r="HI32" s="90"/>
      <c r="HJ32" s="90"/>
      <c r="HK32" s="90"/>
      <c r="HL32" s="90">
        <v>50</v>
      </c>
      <c r="HM32" s="90"/>
      <c r="HN32" s="90"/>
      <c r="HO32" s="90"/>
      <c r="HP32" s="90">
        <v>60</v>
      </c>
      <c r="HQ32" s="90"/>
      <c r="HR32" s="90"/>
      <c r="HS32" s="90"/>
      <c r="HT32" s="90"/>
      <c r="HU32" s="90">
        <v>55</v>
      </c>
      <c r="HV32" s="90"/>
      <c r="HW32" s="90"/>
      <c r="HX32" s="90"/>
      <c r="HY32" s="90"/>
      <c r="HZ32" s="90"/>
      <c r="IA32" s="90"/>
      <c r="IB32" s="90">
        <v>57</v>
      </c>
      <c r="IC32" s="90"/>
      <c r="ID32" s="90"/>
      <c r="IE32" s="90"/>
      <c r="IF32" s="90"/>
      <c r="IG32" s="90"/>
      <c r="IH32" s="90"/>
      <c r="II32" s="90">
        <v>42</v>
      </c>
      <c r="IJ32" s="90"/>
      <c r="IK32" s="90"/>
      <c r="IL32" s="90"/>
      <c r="IM32" s="90"/>
      <c r="IN32" s="90"/>
      <c r="IO32" s="90">
        <v>57</v>
      </c>
      <c r="IP32" s="90"/>
      <c r="IQ32" s="90"/>
      <c r="IR32" s="90">
        <v>30</v>
      </c>
      <c r="IS32" s="90"/>
      <c r="IT32" s="90"/>
      <c r="IU32" s="90"/>
      <c r="IV32" s="90">
        <v>41</v>
      </c>
      <c r="IW32" s="90"/>
      <c r="IX32" s="90"/>
      <c r="IY32" s="90"/>
      <c r="IZ32" s="90"/>
      <c r="JA32" s="90"/>
      <c r="JB32" s="90"/>
      <c r="JC32" s="90">
        <v>64</v>
      </c>
      <c r="JD32" s="90"/>
      <c r="JE32" s="90">
        <v>69</v>
      </c>
      <c r="JF32" s="90"/>
      <c r="JG32" s="90"/>
      <c r="JH32" s="90"/>
      <c r="JI32" s="90"/>
      <c r="JJ32" s="90"/>
      <c r="JK32" s="90">
        <v>75</v>
      </c>
      <c r="JL32" s="90">
        <v>50</v>
      </c>
      <c r="JM32" s="90"/>
      <c r="JN32" s="90"/>
      <c r="JO32" s="90"/>
      <c r="JP32" s="90"/>
      <c r="JQ32" s="90">
        <v>28</v>
      </c>
      <c r="JR32" s="90"/>
      <c r="JS32" s="90">
        <v>40</v>
      </c>
      <c r="JT32" s="90"/>
      <c r="JU32" s="90"/>
      <c r="JV32" s="90"/>
      <c r="JW32" s="90">
        <v>85</v>
      </c>
      <c r="JX32" s="90"/>
      <c r="JY32" s="90"/>
      <c r="JZ32" s="90">
        <v>30</v>
      </c>
      <c r="KA32" s="90">
        <v>50</v>
      </c>
      <c r="KB32" s="90"/>
      <c r="KC32" s="90"/>
      <c r="KD32" s="90"/>
      <c r="KE32" s="90"/>
      <c r="KF32" s="90"/>
      <c r="KG32" s="90"/>
      <c r="KH32" s="90">
        <v>91</v>
      </c>
      <c r="KI32" s="90"/>
      <c r="KJ32" s="90"/>
      <c r="KK32" s="90"/>
      <c r="KL32" s="90"/>
      <c r="KM32" s="90">
        <v>42</v>
      </c>
      <c r="KN32" s="90"/>
      <c r="KO32" s="90">
        <v>70</v>
      </c>
      <c r="KP32" s="90"/>
      <c r="KQ32" s="90"/>
      <c r="KR32" s="90"/>
      <c r="KS32" s="90"/>
      <c r="KT32" s="90">
        <v>45</v>
      </c>
      <c r="KU32" s="90"/>
      <c r="KV32" s="90">
        <v>74</v>
      </c>
      <c r="KW32" s="90"/>
      <c r="KX32" s="90"/>
      <c r="KY32" s="90"/>
      <c r="KZ32" s="90"/>
      <c r="LA32" s="90">
        <v>30</v>
      </c>
      <c r="LB32" s="90"/>
      <c r="LC32" s="90">
        <v>50</v>
      </c>
      <c r="LD32" s="90"/>
      <c r="LE32" s="90"/>
      <c r="LF32" s="90">
        <v>30</v>
      </c>
      <c r="LG32" s="90">
        <v>21</v>
      </c>
      <c r="LH32" s="90"/>
      <c r="LI32" s="90"/>
      <c r="LJ32" s="90">
        <v>33</v>
      </c>
      <c r="LK32" s="90"/>
      <c r="LL32" s="90"/>
      <c r="LM32" s="90"/>
      <c r="LN32" s="90">
        <v>36</v>
      </c>
      <c r="LO32" s="90">
        <v>25</v>
      </c>
      <c r="LP32" s="90"/>
      <c r="LQ32" s="90">
        <v>61</v>
      </c>
      <c r="LR32" s="90"/>
      <c r="LS32" s="90"/>
      <c r="LT32" s="90">
        <v>33</v>
      </c>
      <c r="LU32" s="90"/>
      <c r="LV32" s="90"/>
      <c r="LW32" s="90">
        <v>35</v>
      </c>
      <c r="LX32" s="90">
        <v>79</v>
      </c>
      <c r="LY32" s="90"/>
      <c r="LZ32" s="90"/>
      <c r="MA32" s="90"/>
      <c r="MB32" s="90">
        <v>20</v>
      </c>
      <c r="MC32" s="90"/>
      <c r="MD32" s="90"/>
      <c r="ME32" s="90">
        <v>84</v>
      </c>
      <c r="MF32" s="90"/>
      <c r="MG32" s="90"/>
      <c r="MH32" s="90"/>
      <c r="MI32" s="90">
        <v>80</v>
      </c>
      <c r="MJ32" s="90"/>
      <c r="MK32" s="90"/>
      <c r="ML32" s="90">
        <v>83</v>
      </c>
      <c r="MM32" s="90"/>
      <c r="MN32" s="90"/>
      <c r="MO32" s="90"/>
      <c r="MP32" s="90">
        <v>91</v>
      </c>
      <c r="MQ32" s="90"/>
      <c r="MR32" s="90"/>
      <c r="MS32" s="90">
        <v>20</v>
      </c>
      <c r="MT32" s="90"/>
      <c r="MU32" s="90"/>
      <c r="MV32" s="90"/>
      <c r="MW32" s="90">
        <v>41</v>
      </c>
      <c r="MX32" s="90"/>
      <c r="MY32" s="90"/>
      <c r="MZ32" s="90">
        <v>72</v>
      </c>
      <c r="NA32" s="90"/>
      <c r="NB32" s="90"/>
      <c r="NC32" s="90"/>
      <c r="ND32" s="90"/>
      <c r="NE32" s="90">
        <v>62</v>
      </c>
      <c r="NF32" s="90"/>
      <c r="NG32" s="90"/>
      <c r="NH32" s="90"/>
      <c r="NI32" s="90"/>
    </row>
    <row r="33" spans="1:373" ht="16" thickBot="1" x14ac:dyDescent="0.25">
      <c r="A33" s="16" t="s">
        <v>21</v>
      </c>
      <c r="B33" s="84"/>
      <c r="C33" s="91"/>
      <c r="D33" s="91"/>
      <c r="E33" s="91"/>
      <c r="F33" s="91">
        <v>61</v>
      </c>
      <c r="G33" s="91"/>
      <c r="H33" s="91"/>
      <c r="I33" s="91"/>
      <c r="J33" s="91"/>
      <c r="K33" s="91"/>
      <c r="L33" s="91"/>
      <c r="M33" s="91"/>
      <c r="N33" s="91"/>
      <c r="O33" s="91">
        <v>17</v>
      </c>
      <c r="P33" s="91"/>
      <c r="Q33" s="91"/>
      <c r="R33" s="91"/>
      <c r="S33" s="91"/>
      <c r="T33" s="91">
        <v>15</v>
      </c>
      <c r="U33" s="91"/>
      <c r="V33" s="91"/>
      <c r="W33" s="91"/>
      <c r="X33" s="91">
        <v>42</v>
      </c>
      <c r="Y33" s="91"/>
      <c r="Z33" s="91"/>
      <c r="AA33" s="91"/>
      <c r="AB33" s="91">
        <v>10</v>
      </c>
      <c r="AC33" s="91"/>
      <c r="AD33" s="91"/>
      <c r="AE33" s="91"/>
      <c r="AF33" s="91">
        <v>9</v>
      </c>
      <c r="AG33" s="91"/>
      <c r="AH33" s="91"/>
      <c r="AI33" s="91">
        <v>16</v>
      </c>
      <c r="AJ33" s="91"/>
      <c r="AK33" s="91"/>
      <c r="AL33" s="91">
        <v>52</v>
      </c>
      <c r="AM33" s="91"/>
      <c r="AN33" s="91"/>
      <c r="AO33" s="91"/>
      <c r="AP33" s="91">
        <v>54</v>
      </c>
      <c r="AQ33" s="91"/>
      <c r="AR33" s="91"/>
      <c r="AS33" s="91"/>
      <c r="AT33" s="91"/>
      <c r="AU33" s="91"/>
      <c r="AV33" s="91"/>
      <c r="AW33" s="91">
        <v>45</v>
      </c>
      <c r="AX33" s="91"/>
      <c r="AY33" s="91"/>
      <c r="AZ33" s="91"/>
      <c r="BA33" s="91"/>
      <c r="BB33" s="91"/>
      <c r="BC33" s="91"/>
      <c r="BD33" s="91">
        <v>8</v>
      </c>
      <c r="BE33" s="91"/>
      <c r="BF33" s="91"/>
      <c r="BG33" s="91">
        <v>22</v>
      </c>
      <c r="BH33" s="91"/>
      <c r="BI33" s="91"/>
      <c r="BJ33" s="91">
        <v>13</v>
      </c>
      <c r="BK33" s="91"/>
      <c r="BL33" s="91"/>
      <c r="BM33" s="91"/>
      <c r="BN33" s="91"/>
      <c r="BO33" s="91"/>
      <c r="BP33" s="91"/>
      <c r="BQ33" s="91"/>
      <c r="BR33" s="91">
        <v>30</v>
      </c>
      <c r="BS33" s="91"/>
      <c r="BT33" s="91"/>
      <c r="BU33" s="91"/>
      <c r="BV33" s="91"/>
      <c r="BW33" s="91"/>
      <c r="BX33" s="91">
        <v>8</v>
      </c>
      <c r="BY33" s="91"/>
      <c r="BZ33" s="91"/>
      <c r="CA33" s="91"/>
      <c r="CB33" s="91"/>
      <c r="CC33" s="91"/>
      <c r="CD33" s="91"/>
      <c r="CE33" s="91"/>
      <c r="CF33" s="91">
        <v>19</v>
      </c>
      <c r="CG33" s="91"/>
      <c r="CH33" s="91"/>
      <c r="CI33" s="91"/>
      <c r="CJ33" s="91"/>
      <c r="CK33" s="91">
        <v>36</v>
      </c>
      <c r="CL33" s="91"/>
      <c r="CM33" s="91"/>
      <c r="CN33" s="91"/>
      <c r="CO33" s="91"/>
      <c r="CP33" s="91"/>
      <c r="CQ33" s="91"/>
      <c r="CR33" s="91"/>
      <c r="CS33" s="91">
        <v>96</v>
      </c>
      <c r="CT33" s="91"/>
      <c r="CU33" s="91"/>
      <c r="CV33" s="91"/>
      <c r="CW33" s="91"/>
      <c r="CX33" s="91"/>
      <c r="CY33" s="91"/>
      <c r="CZ33" s="91"/>
      <c r="DA33" s="91"/>
      <c r="DB33" s="91"/>
      <c r="DC33" s="91"/>
      <c r="DD33" s="91"/>
      <c r="DE33" s="91"/>
      <c r="DF33" s="91">
        <v>26</v>
      </c>
      <c r="DG33" s="91"/>
      <c r="DH33" s="91">
        <v>40</v>
      </c>
      <c r="DI33" s="91"/>
      <c r="DJ33" s="91"/>
      <c r="DK33" s="91"/>
      <c r="DL33" s="91">
        <v>22</v>
      </c>
      <c r="DM33" s="91"/>
      <c r="DN33" s="91"/>
      <c r="DO33" s="91">
        <v>9</v>
      </c>
      <c r="DP33" s="91"/>
      <c r="DQ33" s="91"/>
      <c r="DR33" s="91"/>
      <c r="DS33" s="91"/>
      <c r="DT33" s="91"/>
      <c r="DU33" s="91"/>
      <c r="DV33" s="91"/>
      <c r="DW33" s="91"/>
      <c r="DX33" s="91"/>
      <c r="DY33" s="91">
        <v>30</v>
      </c>
      <c r="DZ33" s="91"/>
      <c r="EA33" s="91"/>
      <c r="EB33" s="91"/>
      <c r="EC33" s="91"/>
      <c r="ED33" s="91"/>
      <c r="EE33" s="91"/>
      <c r="EF33" s="91"/>
      <c r="EG33" s="91"/>
      <c r="EH33" s="91"/>
      <c r="EI33" s="91">
        <v>25</v>
      </c>
      <c r="EJ33" s="91"/>
      <c r="EK33" s="91"/>
      <c r="EL33" s="91"/>
      <c r="EM33" s="91"/>
      <c r="EN33" s="91">
        <v>27</v>
      </c>
      <c r="EO33" s="91"/>
      <c r="EP33" s="91">
        <v>16</v>
      </c>
      <c r="EQ33" s="91"/>
      <c r="ER33" s="91"/>
      <c r="ES33" s="91"/>
      <c r="ET33" s="91"/>
      <c r="EU33" s="91"/>
      <c r="EV33" s="91">
        <v>15</v>
      </c>
      <c r="EW33" s="91"/>
      <c r="EX33" s="91">
        <v>5</v>
      </c>
      <c r="EY33" s="91"/>
      <c r="EZ33" s="91"/>
      <c r="FA33" s="91"/>
      <c r="FB33" s="91">
        <v>39</v>
      </c>
      <c r="FC33" s="91"/>
      <c r="FD33" s="91"/>
      <c r="FE33" s="91">
        <v>14</v>
      </c>
      <c r="FF33" s="91"/>
      <c r="FG33" s="91"/>
      <c r="FH33" s="91"/>
      <c r="FI33" s="91">
        <v>10</v>
      </c>
      <c r="FJ33" s="91"/>
      <c r="FK33" s="91"/>
      <c r="FL33" s="91">
        <v>19</v>
      </c>
      <c r="FM33" s="91"/>
      <c r="FN33" s="91"/>
      <c r="FO33" s="91">
        <v>13</v>
      </c>
      <c r="FP33" s="91"/>
      <c r="FQ33" s="91"/>
      <c r="FR33" s="91"/>
      <c r="FS33" s="91">
        <v>5</v>
      </c>
      <c r="FT33" s="91"/>
      <c r="FU33" s="91"/>
      <c r="FV33" s="91"/>
      <c r="FW33" s="91">
        <v>34</v>
      </c>
      <c r="FX33" s="91"/>
      <c r="FY33" s="91"/>
      <c r="FZ33" s="91">
        <v>36</v>
      </c>
      <c r="GA33" s="91"/>
      <c r="GB33" s="91"/>
      <c r="GC33" s="91"/>
      <c r="GD33" s="91"/>
      <c r="GE33" s="91"/>
      <c r="GF33" s="91"/>
      <c r="GG33" s="91">
        <v>20</v>
      </c>
      <c r="GH33" s="91"/>
      <c r="GI33" s="91"/>
      <c r="GJ33" s="91"/>
      <c r="GK33" s="91"/>
      <c r="GL33" s="91">
        <v>21</v>
      </c>
      <c r="GM33" s="91"/>
      <c r="GN33" s="91">
        <v>39</v>
      </c>
      <c r="GO33" s="91"/>
      <c r="GP33" s="91"/>
      <c r="GQ33" s="91">
        <v>26</v>
      </c>
      <c r="GR33" s="91"/>
      <c r="GS33" s="91"/>
      <c r="GT33" s="91">
        <v>37</v>
      </c>
      <c r="GU33" s="91"/>
      <c r="GV33" s="91"/>
      <c r="GW33" s="91"/>
      <c r="GX33" s="91">
        <v>15</v>
      </c>
      <c r="GY33" s="91"/>
      <c r="GZ33" s="91"/>
      <c r="HA33" s="91"/>
      <c r="HB33" s="91">
        <v>37</v>
      </c>
      <c r="HC33" s="91"/>
      <c r="HD33" s="91"/>
      <c r="HE33" s="91">
        <v>12</v>
      </c>
      <c r="HF33" s="91"/>
      <c r="HG33" s="91"/>
      <c r="HH33" s="91"/>
      <c r="HI33" s="91"/>
      <c r="HJ33" s="91"/>
      <c r="HK33" s="91"/>
      <c r="HL33" s="91">
        <v>14</v>
      </c>
      <c r="HM33" s="91"/>
      <c r="HN33" s="91"/>
      <c r="HO33" s="91"/>
      <c r="HP33" s="91">
        <v>9</v>
      </c>
      <c r="HQ33" s="91"/>
      <c r="HR33" s="91"/>
      <c r="HS33" s="91"/>
      <c r="HT33" s="91"/>
      <c r="HU33" s="91"/>
      <c r="HV33" s="91"/>
      <c r="HW33" s="91"/>
      <c r="HX33" s="91"/>
      <c r="HY33" s="91"/>
      <c r="HZ33" s="91"/>
      <c r="IA33" s="91"/>
      <c r="IB33" s="91">
        <v>35</v>
      </c>
      <c r="IC33" s="91"/>
      <c r="ID33" s="91"/>
      <c r="IE33" s="91"/>
      <c r="IF33" s="91"/>
      <c r="IG33" s="91"/>
      <c r="IH33" s="91"/>
      <c r="II33" s="91">
        <v>25</v>
      </c>
      <c r="IJ33" s="91"/>
      <c r="IK33" s="91"/>
      <c r="IL33" s="91"/>
      <c r="IM33" s="91"/>
      <c r="IN33" s="91"/>
      <c r="IO33" s="91">
        <v>57</v>
      </c>
      <c r="IP33" s="91"/>
      <c r="IQ33" s="91"/>
      <c r="IR33" s="91">
        <v>37</v>
      </c>
      <c r="IS33" s="91"/>
      <c r="IT33" s="91"/>
      <c r="IU33" s="91"/>
      <c r="IV33" s="91">
        <v>31</v>
      </c>
      <c r="IW33" s="91"/>
      <c r="IX33" s="91"/>
      <c r="IY33" s="91"/>
      <c r="IZ33" s="91"/>
      <c r="JA33" s="91"/>
      <c r="JB33" s="91"/>
      <c r="JC33" s="91">
        <v>32</v>
      </c>
      <c r="JD33" s="91"/>
      <c r="JE33" s="91">
        <v>33</v>
      </c>
      <c r="JF33" s="91"/>
      <c r="JG33" s="91"/>
      <c r="JH33" s="91"/>
      <c r="JI33" s="91"/>
      <c r="JJ33" s="91"/>
      <c r="JK33" s="91"/>
      <c r="JL33" s="91">
        <v>22</v>
      </c>
      <c r="JM33" s="91"/>
      <c r="JN33" s="91"/>
      <c r="JO33" s="91"/>
      <c r="JP33" s="91"/>
      <c r="JQ33" s="91"/>
      <c r="JR33" s="91"/>
      <c r="JS33" s="91">
        <v>16</v>
      </c>
      <c r="JT33" s="91"/>
      <c r="JU33" s="91"/>
      <c r="JV33" s="91"/>
      <c r="JW33" s="91">
        <v>18</v>
      </c>
      <c r="JX33" s="91"/>
      <c r="JY33" s="91"/>
      <c r="JZ33" s="91"/>
      <c r="KA33" s="91">
        <v>19</v>
      </c>
      <c r="KB33" s="91"/>
      <c r="KC33" s="91"/>
      <c r="KD33" s="91"/>
      <c r="KE33" s="91"/>
      <c r="KF33" s="91"/>
      <c r="KG33" s="91"/>
      <c r="KH33" s="91">
        <v>15</v>
      </c>
      <c r="KI33" s="91"/>
      <c r="KJ33" s="91"/>
      <c r="KK33" s="91"/>
      <c r="KL33" s="91"/>
      <c r="KM33" s="91">
        <v>39</v>
      </c>
      <c r="KN33" s="91"/>
      <c r="KO33" s="91">
        <v>31</v>
      </c>
      <c r="KP33" s="91"/>
      <c r="KQ33" s="91"/>
      <c r="KR33" s="91"/>
      <c r="KS33" s="91"/>
      <c r="KT33" s="91">
        <v>18</v>
      </c>
      <c r="KU33" s="91"/>
      <c r="KV33" s="91">
        <v>44</v>
      </c>
      <c r="KW33" s="91"/>
      <c r="KX33" s="91"/>
      <c r="KY33" s="91"/>
      <c r="KZ33" s="91"/>
      <c r="LA33" s="91"/>
      <c r="LB33" s="91"/>
      <c r="LC33" s="91">
        <v>27</v>
      </c>
      <c r="LD33" s="91"/>
      <c r="LE33" s="91"/>
      <c r="LF33" s="91"/>
      <c r="LG33" s="91">
        <v>30</v>
      </c>
      <c r="LH33" s="91"/>
      <c r="LI33" s="91"/>
      <c r="LJ33" s="91">
        <v>36</v>
      </c>
      <c r="LK33" s="91"/>
      <c r="LL33" s="91"/>
      <c r="LM33" s="91"/>
      <c r="LN33" s="91">
        <v>10</v>
      </c>
      <c r="LO33" s="91">
        <v>22</v>
      </c>
      <c r="LP33" s="91"/>
      <c r="LQ33" s="91"/>
      <c r="LR33" s="91"/>
      <c r="LS33" s="91"/>
      <c r="LT33" s="91">
        <v>21</v>
      </c>
      <c r="LU33" s="91"/>
      <c r="LV33" s="91"/>
      <c r="LW33" s="91"/>
      <c r="LX33" s="91">
        <v>35</v>
      </c>
      <c r="LY33" s="91"/>
      <c r="LZ33" s="91"/>
      <c r="MA33" s="91"/>
      <c r="MB33" s="91">
        <v>8</v>
      </c>
      <c r="MC33" s="91"/>
      <c r="MD33" s="91"/>
      <c r="ME33" s="91">
        <v>12</v>
      </c>
      <c r="MF33" s="91"/>
      <c r="MG33" s="91"/>
      <c r="MH33" s="91"/>
      <c r="MI33" s="91">
        <v>28</v>
      </c>
      <c r="MJ33" s="91"/>
      <c r="MK33" s="91"/>
      <c r="ML33" s="91">
        <v>29</v>
      </c>
      <c r="MM33" s="91"/>
      <c r="MN33" s="91"/>
      <c r="MO33" s="91"/>
      <c r="MP33" s="91">
        <v>23</v>
      </c>
      <c r="MQ33" s="91"/>
      <c r="MR33" s="91"/>
      <c r="MS33" s="91">
        <v>21</v>
      </c>
      <c r="MT33" s="91"/>
      <c r="MU33" s="91"/>
      <c r="MV33" s="91"/>
      <c r="MW33" s="91">
        <v>41</v>
      </c>
      <c r="MX33" s="91"/>
      <c r="MY33" s="91"/>
      <c r="MZ33" s="91">
        <v>27</v>
      </c>
      <c r="NA33" s="91"/>
      <c r="NB33" s="91"/>
      <c r="NC33" s="91"/>
      <c r="ND33" s="91"/>
      <c r="NE33" s="91">
        <v>9</v>
      </c>
      <c r="NF33" s="91"/>
      <c r="NG33" s="91"/>
      <c r="NH33" s="91"/>
      <c r="NI33" s="91"/>
    </row>
    <row r="34" spans="1:373" x14ac:dyDescent="0.2">
      <c r="A34" s="2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76"/>
      <c r="DX34" s="76"/>
      <c r="DY34" s="76"/>
      <c r="DZ34" s="76"/>
      <c r="EA34" s="76"/>
      <c r="EB34" s="76"/>
      <c r="EC34" s="76"/>
      <c r="ED34" s="76"/>
      <c r="EE34" s="76"/>
      <c r="EF34" s="76"/>
      <c r="EG34" s="76"/>
      <c r="EH34" s="76"/>
      <c r="EI34" s="76"/>
      <c r="EJ34" s="76"/>
      <c r="EK34" s="76"/>
      <c r="EL34" s="76"/>
      <c r="EM34" s="76"/>
      <c r="EN34" s="76"/>
      <c r="EO34" s="76"/>
      <c r="EP34" s="76"/>
      <c r="EQ34" s="76"/>
      <c r="ER34" s="76"/>
      <c r="ES34" s="76"/>
      <c r="ET34" s="76"/>
      <c r="EU34" s="76"/>
      <c r="EV34" s="76"/>
      <c r="EW34" s="76"/>
      <c r="EX34" s="76"/>
      <c r="EY34" s="76"/>
      <c r="EZ34" s="76"/>
      <c r="FA34" s="76"/>
      <c r="FB34" s="76"/>
      <c r="FC34" s="76"/>
      <c r="FD34" s="76"/>
      <c r="FE34" s="76"/>
      <c r="FF34" s="76"/>
      <c r="FG34" s="76"/>
      <c r="FH34" s="76"/>
      <c r="FI34" s="76"/>
      <c r="FJ34" s="76"/>
      <c r="FK34" s="76"/>
      <c r="FL34" s="76"/>
      <c r="FM34" s="76"/>
      <c r="FN34" s="76"/>
      <c r="FO34" s="76"/>
      <c r="FP34" s="76"/>
      <c r="FQ34" s="76"/>
      <c r="FR34" s="76"/>
      <c r="FS34" s="76"/>
      <c r="FT34" s="76"/>
      <c r="FU34" s="76"/>
      <c r="FV34" s="76"/>
      <c r="FW34" s="76"/>
      <c r="FX34" s="76"/>
      <c r="FY34" s="76"/>
      <c r="FZ34" s="76"/>
      <c r="GA34" s="76"/>
      <c r="GB34" s="76"/>
      <c r="GC34" s="76"/>
      <c r="GD34" s="76"/>
      <c r="GE34" s="76"/>
      <c r="GF34" s="76"/>
      <c r="GG34" s="76"/>
      <c r="GH34" s="76"/>
      <c r="GI34" s="76"/>
      <c r="GJ34" s="76"/>
      <c r="GK34" s="76"/>
      <c r="GL34" s="76"/>
      <c r="GM34" s="76"/>
      <c r="GN34" s="76"/>
      <c r="GO34" s="76"/>
      <c r="GP34" s="76"/>
      <c r="GQ34" s="76"/>
      <c r="GR34" s="76"/>
      <c r="GS34" s="76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76"/>
      <c r="HK34" s="76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76"/>
      <c r="IC34" s="76"/>
      <c r="ID34" s="76"/>
      <c r="IE34" s="76"/>
      <c r="IF34" s="76"/>
      <c r="IG34" s="76"/>
      <c r="IH34" s="76"/>
      <c r="II34" s="76"/>
      <c r="IJ34" s="76"/>
      <c r="IK34" s="76"/>
      <c r="IL34" s="76"/>
      <c r="IM34" s="76"/>
      <c r="IN34" s="76"/>
      <c r="IO34" s="76"/>
      <c r="IP34" s="76"/>
      <c r="IQ34" s="76"/>
      <c r="IR34" s="76"/>
      <c r="IS34" s="76"/>
      <c r="IT34" s="76"/>
      <c r="IU34" s="76"/>
      <c r="IV34" s="76"/>
      <c r="IW34" s="76"/>
      <c r="IX34" s="76"/>
      <c r="IY34" s="76"/>
      <c r="IZ34" s="76"/>
      <c r="JA34" s="76"/>
      <c r="JB34" s="76"/>
      <c r="JC34" s="76"/>
      <c r="JD34" s="76"/>
      <c r="JE34" s="76"/>
      <c r="JF34" s="76"/>
      <c r="JG34" s="76"/>
      <c r="JH34" s="76"/>
      <c r="JI34" s="76"/>
      <c r="JJ34" s="76"/>
      <c r="JK34" s="76"/>
      <c r="JL34" s="76"/>
      <c r="JM34" s="76"/>
      <c r="JN34" s="76"/>
      <c r="JO34" s="76"/>
      <c r="JP34" s="76"/>
      <c r="JQ34" s="76"/>
      <c r="JR34" s="76"/>
      <c r="JS34" s="76"/>
      <c r="JT34" s="76"/>
      <c r="JU34" s="76"/>
      <c r="JV34" s="76"/>
      <c r="JW34" s="76"/>
      <c r="JX34" s="76"/>
      <c r="JY34" s="76"/>
      <c r="JZ34" s="76"/>
      <c r="KA34" s="76"/>
      <c r="KB34" s="76"/>
      <c r="KC34" s="76"/>
      <c r="KD34" s="76"/>
      <c r="KE34" s="76"/>
      <c r="KF34" s="76"/>
      <c r="KG34" s="76"/>
      <c r="KH34" s="76"/>
      <c r="KI34" s="76"/>
      <c r="KJ34" s="76"/>
      <c r="KK34" s="76"/>
      <c r="KL34" s="76"/>
      <c r="KM34" s="76"/>
      <c r="KN34" s="76"/>
      <c r="KO34" s="76"/>
      <c r="KP34" s="76"/>
      <c r="KQ34" s="76"/>
      <c r="KR34" s="76"/>
      <c r="KS34" s="76"/>
      <c r="KT34" s="76"/>
      <c r="KU34" s="76"/>
      <c r="KV34" s="76"/>
      <c r="KW34" s="76"/>
      <c r="KX34" s="76"/>
      <c r="KY34" s="76"/>
      <c r="KZ34" s="76"/>
      <c r="LA34" s="76"/>
      <c r="LB34" s="76"/>
      <c r="LC34" s="76"/>
      <c r="LD34" s="76"/>
      <c r="LE34" s="76"/>
      <c r="LF34" s="76"/>
      <c r="LG34" s="76"/>
      <c r="LH34" s="76"/>
      <c r="LI34" s="76"/>
      <c r="LJ34" s="76"/>
      <c r="LK34" s="76"/>
      <c r="LL34" s="76"/>
      <c r="LM34" s="76"/>
      <c r="LN34" s="76"/>
      <c r="LO34" s="76"/>
      <c r="LP34" s="76"/>
      <c r="LQ34" s="76"/>
      <c r="LR34" s="76"/>
      <c r="LS34" s="76"/>
      <c r="LT34" s="76"/>
      <c r="LU34" s="76"/>
      <c r="LV34" s="76"/>
      <c r="LW34" s="76"/>
      <c r="LX34" s="76"/>
      <c r="LY34" s="76"/>
      <c r="LZ34" s="76"/>
      <c r="MA34" s="76"/>
      <c r="MB34" s="76"/>
      <c r="MC34" s="76"/>
      <c r="MD34" s="76"/>
      <c r="ME34" s="76"/>
      <c r="MF34" s="76"/>
      <c r="MG34" s="76"/>
      <c r="MH34" s="76"/>
      <c r="MI34" s="76"/>
      <c r="MJ34" s="76"/>
      <c r="MK34" s="76"/>
      <c r="ML34" s="76"/>
      <c r="MM34" s="76"/>
      <c r="MN34" s="76"/>
      <c r="MO34" s="76"/>
      <c r="MP34" s="76"/>
      <c r="MQ34" s="76"/>
      <c r="MR34" s="76"/>
      <c r="MS34" s="76"/>
      <c r="MT34" s="76"/>
      <c r="MU34" s="76"/>
      <c r="MV34" s="76"/>
      <c r="MW34" s="76"/>
      <c r="MX34" s="76"/>
      <c r="MY34" s="76"/>
      <c r="MZ34" s="76"/>
      <c r="NA34" s="76"/>
      <c r="NB34" s="76"/>
      <c r="NC34" s="76"/>
      <c r="ND34" s="76"/>
      <c r="NE34" s="76"/>
      <c r="NF34" s="76"/>
      <c r="NG34" s="76"/>
      <c r="NH34" s="76"/>
      <c r="NI34" s="76"/>
    </row>
    <row r="35" spans="1:373" ht="16" thickBo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</row>
    <row r="36" spans="1:373" x14ac:dyDescent="0.2">
      <c r="A36" s="19" t="s">
        <v>24</v>
      </c>
      <c r="B36" s="136" t="str">
        <f>IF(B5=0," ",(B10+B16+B22+B26+B28+B30)/B5)</f>
        <v xml:space="preserve"> </v>
      </c>
      <c r="C36" s="136" t="str">
        <f t="shared" ref="C36" si="11">IF(C5=0," ",(C10+C16+C22+C26+C28+C30)/C5)</f>
        <v xml:space="preserve"> </v>
      </c>
      <c r="D36" s="136">
        <f>IF(D5=0," ",(D10+D16+D22+D26+D28+D30)/D5)</f>
        <v>0.15838509316770186</v>
      </c>
      <c r="E36" s="136">
        <f t="shared" ref="E36:BP36" si="12">IF(E5=0," ",(E10+E16+E22+E26+E28+E30)/E5)</f>
        <v>0</v>
      </c>
      <c r="F36" s="136" t="str">
        <f t="shared" si="12"/>
        <v xml:space="preserve"> </v>
      </c>
      <c r="G36" s="136" t="str">
        <f t="shared" si="12"/>
        <v xml:space="preserve"> </v>
      </c>
      <c r="H36" s="136" t="str">
        <f t="shared" si="12"/>
        <v xml:space="preserve"> </v>
      </c>
      <c r="I36" s="136" t="str">
        <f t="shared" si="12"/>
        <v xml:space="preserve"> </v>
      </c>
      <c r="J36" s="136" t="str">
        <f t="shared" si="12"/>
        <v xml:space="preserve"> </v>
      </c>
      <c r="K36" s="136">
        <f t="shared" si="12"/>
        <v>0.28542914171656686</v>
      </c>
      <c r="L36" s="136">
        <f t="shared" si="12"/>
        <v>0.34394904458598724</v>
      </c>
      <c r="M36" s="136">
        <f t="shared" si="12"/>
        <v>0.33333333333333331</v>
      </c>
      <c r="N36" s="136">
        <f t="shared" si="12"/>
        <v>0.27124183006535946</v>
      </c>
      <c r="O36" s="136" t="str">
        <f t="shared" si="12"/>
        <v xml:space="preserve"> </v>
      </c>
      <c r="P36" s="136" t="str">
        <f t="shared" si="12"/>
        <v xml:space="preserve"> </v>
      </c>
      <c r="Q36" s="136" t="str">
        <f t="shared" si="12"/>
        <v xml:space="preserve"> </v>
      </c>
      <c r="R36" s="136">
        <f t="shared" si="12"/>
        <v>0.35399999999999998</v>
      </c>
      <c r="S36" s="136">
        <f t="shared" si="12"/>
        <v>0.34592445328031807</v>
      </c>
      <c r="T36" s="136" t="str">
        <f t="shared" si="12"/>
        <v xml:space="preserve"> </v>
      </c>
      <c r="U36" s="136">
        <f t="shared" si="12"/>
        <v>0.32036613272311215</v>
      </c>
      <c r="V36" s="136" t="str">
        <f t="shared" si="12"/>
        <v xml:space="preserve"> </v>
      </c>
      <c r="W36" s="136" t="str">
        <f t="shared" si="12"/>
        <v xml:space="preserve"> </v>
      </c>
      <c r="X36" s="136" t="str">
        <f t="shared" si="12"/>
        <v xml:space="preserve"> </v>
      </c>
      <c r="Y36" s="136">
        <f t="shared" si="12"/>
        <v>0.32843137254901961</v>
      </c>
      <c r="Z36" s="136">
        <f t="shared" si="12"/>
        <v>0.3589108910891089</v>
      </c>
      <c r="AA36" s="136" t="str">
        <f t="shared" si="12"/>
        <v xml:space="preserve"> </v>
      </c>
      <c r="AB36" s="136">
        <f t="shared" si="12"/>
        <v>0.28125</v>
      </c>
      <c r="AC36" s="136" t="str">
        <f t="shared" si="12"/>
        <v xml:space="preserve"> </v>
      </c>
      <c r="AD36" s="136" t="str">
        <f t="shared" si="12"/>
        <v xml:space="preserve"> </v>
      </c>
      <c r="AE36" s="136" t="str">
        <f t="shared" si="12"/>
        <v xml:space="preserve"> </v>
      </c>
      <c r="AF36" s="136">
        <f t="shared" si="12"/>
        <v>0.20032840722495895</v>
      </c>
      <c r="AG36" s="136" t="str">
        <f t="shared" si="12"/>
        <v xml:space="preserve"> </v>
      </c>
      <c r="AH36" s="136">
        <f t="shared" si="12"/>
        <v>0.17209302325581396</v>
      </c>
      <c r="AI36" s="136" t="str">
        <f t="shared" si="12"/>
        <v xml:space="preserve"> </v>
      </c>
      <c r="AJ36" s="136" t="str">
        <f t="shared" si="12"/>
        <v xml:space="preserve"> </v>
      </c>
      <c r="AK36" s="136" t="str">
        <f t="shared" si="12"/>
        <v xml:space="preserve"> </v>
      </c>
      <c r="AL36" s="136" t="str">
        <f t="shared" si="12"/>
        <v xml:space="preserve"> </v>
      </c>
      <c r="AM36" s="136">
        <f t="shared" si="12"/>
        <v>0.38785834738617203</v>
      </c>
      <c r="AN36" s="136">
        <f t="shared" si="12"/>
        <v>0.28260869565217389</v>
      </c>
      <c r="AO36" s="136" t="str">
        <f t="shared" si="12"/>
        <v xml:space="preserve"> </v>
      </c>
      <c r="AP36" s="136">
        <f t="shared" si="12"/>
        <v>0.23706176961602671</v>
      </c>
      <c r="AQ36" s="136" t="str">
        <f t="shared" si="12"/>
        <v xml:space="preserve"> </v>
      </c>
      <c r="AR36" s="136" t="str">
        <f t="shared" si="12"/>
        <v xml:space="preserve"> </v>
      </c>
      <c r="AS36" s="136" t="str">
        <f t="shared" si="12"/>
        <v xml:space="preserve"> </v>
      </c>
      <c r="AT36" s="136">
        <f t="shared" si="12"/>
        <v>0.26582278481012656</v>
      </c>
      <c r="AU36" s="136">
        <f t="shared" si="12"/>
        <v>0.33333333333333331</v>
      </c>
      <c r="AV36" s="136">
        <f t="shared" si="12"/>
        <v>0.23076923076923078</v>
      </c>
      <c r="AW36" s="136">
        <f t="shared" si="12"/>
        <v>0.3536231884057971</v>
      </c>
      <c r="AX36" s="136" t="str">
        <f t="shared" si="12"/>
        <v xml:space="preserve"> </v>
      </c>
      <c r="AY36" s="136" t="str">
        <f t="shared" si="12"/>
        <v xml:space="preserve"> </v>
      </c>
      <c r="AZ36" s="136" t="str">
        <f t="shared" si="12"/>
        <v xml:space="preserve"> </v>
      </c>
      <c r="BA36" s="136">
        <f t="shared" si="12"/>
        <v>0.39155470249520152</v>
      </c>
      <c r="BB36" s="136">
        <f t="shared" si="12"/>
        <v>0.32679097154072623</v>
      </c>
      <c r="BC36" s="136" t="str">
        <f t="shared" si="12"/>
        <v xml:space="preserve"> </v>
      </c>
      <c r="BD36" s="136">
        <f t="shared" si="12"/>
        <v>6.4705882352941183E-2</v>
      </c>
      <c r="BE36" s="136" t="str">
        <f t="shared" si="12"/>
        <v xml:space="preserve"> </v>
      </c>
      <c r="BF36" s="136" t="str">
        <f t="shared" si="12"/>
        <v xml:space="preserve"> </v>
      </c>
      <c r="BG36" s="136" t="str">
        <f t="shared" si="12"/>
        <v xml:space="preserve"> </v>
      </c>
      <c r="BH36" s="136">
        <f t="shared" si="12"/>
        <v>0.13623978201634879</v>
      </c>
      <c r="BI36" s="136">
        <f t="shared" si="12"/>
        <v>0.20384615384615384</v>
      </c>
      <c r="BJ36" s="136">
        <f t="shared" si="12"/>
        <v>0.30769230769230771</v>
      </c>
      <c r="BK36" s="136">
        <f t="shared" si="12"/>
        <v>0.13846153846153847</v>
      </c>
      <c r="BL36" s="136" t="str">
        <f t="shared" si="12"/>
        <v xml:space="preserve"> </v>
      </c>
      <c r="BM36" s="136" t="str">
        <f t="shared" si="12"/>
        <v xml:space="preserve"> </v>
      </c>
      <c r="BN36" s="136">
        <f t="shared" si="12"/>
        <v>0</v>
      </c>
      <c r="BO36" s="136">
        <f t="shared" si="12"/>
        <v>0.26301369863013696</v>
      </c>
      <c r="BP36" s="136">
        <f t="shared" si="12"/>
        <v>0.44230769230769229</v>
      </c>
      <c r="BQ36" s="136" t="str">
        <f t="shared" ref="BQ36:EB36" si="13">IF(BQ5=0," ",(BQ10+BQ16+BQ22+BQ26+BQ28+BQ30)/BQ5)</f>
        <v xml:space="preserve"> </v>
      </c>
      <c r="BR36" s="136">
        <f t="shared" si="13"/>
        <v>0.35446685878962536</v>
      </c>
      <c r="BS36" s="136" t="str">
        <f t="shared" si="13"/>
        <v xml:space="preserve"> </v>
      </c>
      <c r="BT36" s="136" t="str">
        <f t="shared" si="13"/>
        <v xml:space="preserve"> </v>
      </c>
      <c r="BU36" s="136">
        <f t="shared" si="13"/>
        <v>0.38025210084033612</v>
      </c>
      <c r="BV36" s="136">
        <f t="shared" si="13"/>
        <v>0.35333333333333333</v>
      </c>
      <c r="BW36" s="136">
        <f t="shared" si="13"/>
        <v>0.34934497816593885</v>
      </c>
      <c r="BX36" s="136">
        <f t="shared" si="13"/>
        <v>0.19296577946768062</v>
      </c>
      <c r="BY36" s="136" t="str">
        <f t="shared" si="13"/>
        <v xml:space="preserve"> </v>
      </c>
      <c r="BZ36" s="136" t="str">
        <f t="shared" si="13"/>
        <v xml:space="preserve"> </v>
      </c>
      <c r="CA36" s="136" t="str">
        <f t="shared" si="13"/>
        <v xml:space="preserve"> </v>
      </c>
      <c r="CB36" s="136" t="str">
        <f t="shared" si="13"/>
        <v xml:space="preserve"> </v>
      </c>
      <c r="CC36" s="136">
        <f t="shared" si="13"/>
        <v>0.33096590909090912</v>
      </c>
      <c r="CD36" s="136">
        <f t="shared" si="13"/>
        <v>0.26484907497565724</v>
      </c>
      <c r="CE36" s="136" t="str">
        <f t="shared" si="13"/>
        <v xml:space="preserve"> </v>
      </c>
      <c r="CF36" s="136">
        <f t="shared" si="13"/>
        <v>0.31304347826086959</v>
      </c>
      <c r="CG36" s="136" t="str">
        <f t="shared" si="13"/>
        <v xml:space="preserve"> </v>
      </c>
      <c r="CH36" s="136" t="str">
        <f t="shared" si="13"/>
        <v xml:space="preserve"> </v>
      </c>
      <c r="CI36" s="136" t="str">
        <f t="shared" si="13"/>
        <v xml:space="preserve"> </v>
      </c>
      <c r="CJ36" s="136">
        <f t="shared" si="13"/>
        <v>0.33734939759036142</v>
      </c>
      <c r="CK36" s="136">
        <f t="shared" si="13"/>
        <v>0.29976580796252927</v>
      </c>
      <c r="CL36" s="136">
        <f t="shared" si="13"/>
        <v>0.29198682766190998</v>
      </c>
      <c r="CM36" s="136" t="str">
        <f t="shared" si="13"/>
        <v xml:space="preserve"> </v>
      </c>
      <c r="CN36" s="136" t="str">
        <f t="shared" si="13"/>
        <v xml:space="preserve"> </v>
      </c>
      <c r="CO36" s="136" t="str">
        <f t="shared" si="13"/>
        <v xml:space="preserve"> </v>
      </c>
      <c r="CP36" s="136">
        <f t="shared" si="13"/>
        <v>0.48529411764705882</v>
      </c>
      <c r="CQ36" s="136">
        <f t="shared" si="13"/>
        <v>0.23809523809523808</v>
      </c>
      <c r="CR36" s="136">
        <f t="shared" si="13"/>
        <v>0.39437896645512238</v>
      </c>
      <c r="CS36" s="136">
        <f t="shared" si="13"/>
        <v>0.34693877551020408</v>
      </c>
      <c r="CT36" s="136" t="str">
        <f t="shared" si="13"/>
        <v xml:space="preserve"> </v>
      </c>
      <c r="CU36" s="136" t="str">
        <f t="shared" si="13"/>
        <v xml:space="preserve"> </v>
      </c>
      <c r="CV36" s="136" t="str">
        <f t="shared" si="13"/>
        <v xml:space="preserve"> </v>
      </c>
      <c r="CW36" s="136" t="str">
        <f t="shared" si="13"/>
        <v xml:space="preserve"> </v>
      </c>
      <c r="CX36" s="136">
        <f t="shared" si="13"/>
        <v>0.318359375</v>
      </c>
      <c r="CY36" s="136">
        <f t="shared" si="13"/>
        <v>0.38842975206611569</v>
      </c>
      <c r="CZ36" s="136">
        <f t="shared" si="13"/>
        <v>0.37637795275590552</v>
      </c>
      <c r="DA36" s="136">
        <f t="shared" si="13"/>
        <v>0.30191458026509571</v>
      </c>
      <c r="DB36" s="136" t="str">
        <f t="shared" si="13"/>
        <v xml:space="preserve"> </v>
      </c>
      <c r="DC36" s="136" t="str">
        <f t="shared" si="13"/>
        <v xml:space="preserve"> </v>
      </c>
      <c r="DD36" s="136" t="str">
        <f t="shared" si="13"/>
        <v xml:space="preserve"> </v>
      </c>
      <c r="DE36" s="136">
        <f t="shared" si="13"/>
        <v>0.43403205918618987</v>
      </c>
      <c r="DF36" s="136">
        <f t="shared" si="13"/>
        <v>0.39659367396593675</v>
      </c>
      <c r="DG36" s="136" t="str">
        <f t="shared" si="13"/>
        <v xml:space="preserve"> </v>
      </c>
      <c r="DH36" s="136" t="str">
        <f t="shared" si="13"/>
        <v xml:space="preserve"> </v>
      </c>
      <c r="DI36" s="136" t="str">
        <f t="shared" si="13"/>
        <v xml:space="preserve"> </v>
      </c>
      <c r="DJ36" s="136" t="str">
        <f t="shared" si="13"/>
        <v xml:space="preserve"> </v>
      </c>
      <c r="DK36" s="136">
        <f t="shared" si="13"/>
        <v>0.37344398340248963</v>
      </c>
      <c r="DL36" s="136">
        <f t="shared" si="13"/>
        <v>0.35948477751756441</v>
      </c>
      <c r="DM36" s="136">
        <f t="shared" si="13"/>
        <v>0.40123456790123457</v>
      </c>
      <c r="DN36" s="136" t="str">
        <f t="shared" si="13"/>
        <v xml:space="preserve"> </v>
      </c>
      <c r="DO36" s="136">
        <f t="shared" si="13"/>
        <v>0.19917012448132779</v>
      </c>
      <c r="DP36" s="136" t="str">
        <f t="shared" si="13"/>
        <v xml:space="preserve"> </v>
      </c>
      <c r="DQ36" s="136" t="str">
        <f t="shared" si="13"/>
        <v xml:space="preserve"> </v>
      </c>
      <c r="DR36" s="136" t="str">
        <f t="shared" si="13"/>
        <v xml:space="preserve"> </v>
      </c>
      <c r="DS36" s="136" t="str">
        <f t="shared" si="13"/>
        <v xml:space="preserve"> </v>
      </c>
      <c r="DT36" s="136">
        <f t="shared" si="13"/>
        <v>0.39416058394160586</v>
      </c>
      <c r="DU36" s="136">
        <f t="shared" si="13"/>
        <v>0.30683229813664598</v>
      </c>
      <c r="DV36" s="136">
        <f t="shared" si="13"/>
        <v>0.39015151515151514</v>
      </c>
      <c r="DW36" s="136" t="str">
        <f t="shared" si="13"/>
        <v xml:space="preserve"> </v>
      </c>
      <c r="DX36" s="136" t="str">
        <f t="shared" si="13"/>
        <v xml:space="preserve"> </v>
      </c>
      <c r="DY36" s="136" t="str">
        <f t="shared" si="13"/>
        <v xml:space="preserve"> </v>
      </c>
      <c r="DZ36" s="136">
        <f t="shared" si="13"/>
        <v>0.35572139303482586</v>
      </c>
      <c r="EA36" s="136" t="str">
        <f t="shared" si="13"/>
        <v xml:space="preserve"> </v>
      </c>
      <c r="EB36" s="136">
        <f t="shared" si="13"/>
        <v>0.33716475095785442</v>
      </c>
      <c r="EC36" s="136" t="str">
        <f t="shared" ref="EC36:GN36" si="14">IF(EC5=0," ",(EC10+EC16+EC22+EC26+EC28+EC30)/EC5)</f>
        <v xml:space="preserve"> </v>
      </c>
      <c r="ED36" s="136" t="str">
        <f t="shared" si="14"/>
        <v xml:space="preserve"> </v>
      </c>
      <c r="EE36" s="136" t="str">
        <f t="shared" si="14"/>
        <v xml:space="preserve"> </v>
      </c>
      <c r="EF36" s="136" t="str">
        <f t="shared" si="14"/>
        <v xml:space="preserve"> </v>
      </c>
      <c r="EG36" s="136">
        <f t="shared" si="14"/>
        <v>0.35164835164835168</v>
      </c>
      <c r="EH36" s="136">
        <f t="shared" si="14"/>
        <v>0.34241245136186771</v>
      </c>
      <c r="EI36" s="136">
        <f t="shared" si="14"/>
        <v>0</v>
      </c>
      <c r="EJ36" s="136">
        <f t="shared" si="14"/>
        <v>0.3944020356234097</v>
      </c>
      <c r="EK36" s="136" t="str">
        <f t="shared" si="14"/>
        <v xml:space="preserve"> </v>
      </c>
      <c r="EL36" s="136" t="str">
        <f t="shared" si="14"/>
        <v xml:space="preserve"> </v>
      </c>
      <c r="EM36" s="136" t="str">
        <f t="shared" si="14"/>
        <v xml:space="preserve"> </v>
      </c>
      <c r="EN36" s="136">
        <f t="shared" si="14"/>
        <v>0.32</v>
      </c>
      <c r="EO36" s="136">
        <f t="shared" si="14"/>
        <v>0.25943396226415094</v>
      </c>
      <c r="EP36" s="136">
        <f t="shared" si="14"/>
        <v>0.3801980198019802</v>
      </c>
      <c r="EQ36" s="136" t="str">
        <f t="shared" si="14"/>
        <v xml:space="preserve"> </v>
      </c>
      <c r="ER36" s="136" t="str">
        <f t="shared" si="14"/>
        <v xml:space="preserve"> </v>
      </c>
      <c r="ES36" s="136" t="str">
        <f t="shared" si="14"/>
        <v xml:space="preserve"> </v>
      </c>
      <c r="ET36" s="136" t="str">
        <f t="shared" si="14"/>
        <v xml:space="preserve"> </v>
      </c>
      <c r="EU36" s="136">
        <f t="shared" si="14"/>
        <v>0.34415584415584416</v>
      </c>
      <c r="EV36" s="136" t="str">
        <f t="shared" si="14"/>
        <v xml:space="preserve"> </v>
      </c>
      <c r="EW36" s="136" t="str">
        <f t="shared" si="14"/>
        <v xml:space="preserve"> </v>
      </c>
      <c r="EX36" s="136">
        <f t="shared" si="14"/>
        <v>0.39175257731958762</v>
      </c>
      <c r="EY36" s="136" t="str">
        <f t="shared" si="14"/>
        <v xml:space="preserve"> </v>
      </c>
      <c r="EZ36" s="136" t="str">
        <f t="shared" si="14"/>
        <v xml:space="preserve"> </v>
      </c>
      <c r="FA36" s="136" t="str">
        <f>IF(FA5=0," ",(FA10+FA16+FA22+FA26+FA28+FA30)/FA5)</f>
        <v xml:space="preserve"> </v>
      </c>
      <c r="FB36" s="136">
        <f t="shared" si="14"/>
        <v>0.3883248730964467</v>
      </c>
      <c r="FC36" s="136">
        <f t="shared" si="14"/>
        <v>0.40604751619870411</v>
      </c>
      <c r="FD36" s="136">
        <f t="shared" si="14"/>
        <v>0.35867768595041322</v>
      </c>
      <c r="FE36" s="136">
        <f t="shared" si="14"/>
        <v>0.39956331877729256</v>
      </c>
      <c r="FF36" s="136" t="str">
        <f t="shared" si="14"/>
        <v xml:space="preserve"> </v>
      </c>
      <c r="FG36" s="136" t="str">
        <f t="shared" si="14"/>
        <v xml:space="preserve"> </v>
      </c>
      <c r="FH36" s="136" t="str">
        <f t="shared" si="14"/>
        <v xml:space="preserve"> </v>
      </c>
      <c r="FI36" s="136">
        <f t="shared" si="14"/>
        <v>0.37096774193548387</v>
      </c>
      <c r="FJ36" s="136">
        <f t="shared" si="14"/>
        <v>0.33152173913043476</v>
      </c>
      <c r="FK36" s="136" t="str">
        <f t="shared" si="14"/>
        <v xml:space="preserve"> </v>
      </c>
      <c r="FL36" s="136">
        <f t="shared" si="14"/>
        <v>0.36343612334801761</v>
      </c>
      <c r="FM36" s="136" t="str">
        <f t="shared" si="14"/>
        <v xml:space="preserve"> </v>
      </c>
      <c r="FN36" s="136" t="str">
        <f t="shared" si="14"/>
        <v xml:space="preserve"> </v>
      </c>
      <c r="FO36" s="136" t="str">
        <f t="shared" si="14"/>
        <v xml:space="preserve"> </v>
      </c>
      <c r="FP36" s="136">
        <f t="shared" si="14"/>
        <v>0.39285714285714285</v>
      </c>
      <c r="FQ36" s="136">
        <f t="shared" si="14"/>
        <v>0.35815602836879434</v>
      </c>
      <c r="FR36" s="136">
        <f t="shared" si="14"/>
        <v>0.39130434782608697</v>
      </c>
      <c r="FS36" s="136">
        <f t="shared" si="14"/>
        <v>0.37169312169312169</v>
      </c>
      <c r="FT36" s="136" t="str">
        <f t="shared" si="14"/>
        <v xml:space="preserve"> </v>
      </c>
      <c r="FU36" s="136" t="str">
        <f t="shared" si="14"/>
        <v xml:space="preserve"> </v>
      </c>
      <c r="FV36" s="136" t="str">
        <f t="shared" si="14"/>
        <v xml:space="preserve"> </v>
      </c>
      <c r="FW36" s="136" t="str">
        <f t="shared" si="14"/>
        <v xml:space="preserve"> </v>
      </c>
      <c r="FX36" s="136">
        <f t="shared" si="14"/>
        <v>0.4024144869215292</v>
      </c>
      <c r="FY36" s="136">
        <f t="shared" si="14"/>
        <v>0.31468531468531469</v>
      </c>
      <c r="FZ36" s="136">
        <f t="shared" si="14"/>
        <v>0.38565891472868219</v>
      </c>
      <c r="GA36" s="136" t="str">
        <f t="shared" si="14"/>
        <v xml:space="preserve"> </v>
      </c>
      <c r="GB36" s="136" t="str">
        <f t="shared" si="14"/>
        <v xml:space="preserve"> </v>
      </c>
      <c r="GC36" s="136" t="str">
        <f t="shared" si="14"/>
        <v xml:space="preserve"> </v>
      </c>
      <c r="GD36" s="136" t="str">
        <f t="shared" si="14"/>
        <v xml:space="preserve"> </v>
      </c>
      <c r="GE36" s="136">
        <f t="shared" si="14"/>
        <v>0.35106382978723405</v>
      </c>
      <c r="GF36" s="136">
        <f t="shared" si="14"/>
        <v>0.45535714285714285</v>
      </c>
      <c r="GG36" s="136">
        <f t="shared" si="14"/>
        <v>0.38481012658227848</v>
      </c>
      <c r="GH36" s="136" t="str">
        <f t="shared" si="14"/>
        <v xml:space="preserve"> </v>
      </c>
      <c r="GI36" s="136" t="str">
        <f t="shared" si="14"/>
        <v xml:space="preserve"> </v>
      </c>
      <c r="GJ36" s="136">
        <f t="shared" si="14"/>
        <v>0.3674496644295302</v>
      </c>
      <c r="GK36" s="136">
        <f t="shared" si="14"/>
        <v>0.36561085972850677</v>
      </c>
      <c r="GL36" s="136" t="str">
        <f t="shared" si="14"/>
        <v xml:space="preserve"> </v>
      </c>
      <c r="GM36" s="136">
        <f t="shared" si="14"/>
        <v>0.36036036036036034</v>
      </c>
      <c r="GN36" s="136">
        <f t="shared" si="14"/>
        <v>0.36778846153846156</v>
      </c>
      <c r="GO36" s="136" t="str">
        <f t="shared" ref="GO36:IZ36" si="15">IF(GO5=0," ",(GO10+GO16+GO22+GO26+GO28+GO30)/GO5)</f>
        <v xml:space="preserve"> </v>
      </c>
      <c r="GP36" s="136" t="str">
        <f t="shared" si="15"/>
        <v xml:space="preserve"> </v>
      </c>
      <c r="GQ36" s="136">
        <f t="shared" si="15"/>
        <v>0.38677354709418837</v>
      </c>
      <c r="GR36" s="136">
        <f t="shared" si="15"/>
        <v>0.39374999999999999</v>
      </c>
      <c r="GS36" s="136" t="str">
        <f t="shared" si="15"/>
        <v xml:space="preserve"> </v>
      </c>
      <c r="GT36" s="136">
        <f t="shared" si="15"/>
        <v>0.35416666666666669</v>
      </c>
      <c r="GU36" s="136" t="str">
        <f t="shared" si="15"/>
        <v xml:space="preserve"> </v>
      </c>
      <c r="GV36" s="136" t="str">
        <f t="shared" si="15"/>
        <v xml:space="preserve"> </v>
      </c>
      <c r="GW36" s="136" t="str">
        <f t="shared" si="15"/>
        <v xml:space="preserve"> </v>
      </c>
      <c r="GX36" s="136">
        <f t="shared" si="15"/>
        <v>0.3968253968253968</v>
      </c>
      <c r="GY36" s="136">
        <f t="shared" si="15"/>
        <v>0.39072847682119205</v>
      </c>
      <c r="GZ36" s="136">
        <f t="shared" si="15"/>
        <v>0.36309523809523808</v>
      </c>
      <c r="HA36" s="136">
        <f t="shared" si="15"/>
        <v>0.36434108527131781</v>
      </c>
      <c r="HB36" s="136">
        <f t="shared" si="15"/>
        <v>0.41317365269461076</v>
      </c>
      <c r="HC36" s="136" t="str">
        <f t="shared" si="15"/>
        <v xml:space="preserve"> </v>
      </c>
      <c r="HD36" s="136" t="str">
        <f t="shared" si="15"/>
        <v xml:space="preserve"> </v>
      </c>
      <c r="HE36" s="136" t="str">
        <f t="shared" si="15"/>
        <v xml:space="preserve"> </v>
      </c>
      <c r="HF36" s="136">
        <f t="shared" si="15"/>
        <v>0.36</v>
      </c>
      <c r="HG36" s="136">
        <f t="shared" si="15"/>
        <v>0.45219123505976094</v>
      </c>
      <c r="HH36" s="136">
        <f t="shared" si="15"/>
        <v>0.3229018492176387</v>
      </c>
      <c r="HI36" s="136">
        <f t="shared" si="15"/>
        <v>0.35673624288425049</v>
      </c>
      <c r="HJ36" s="136" t="str">
        <f t="shared" si="15"/>
        <v xml:space="preserve"> </v>
      </c>
      <c r="HK36" s="136" t="str">
        <f t="shared" si="15"/>
        <v xml:space="preserve"> </v>
      </c>
      <c r="HL36" s="136">
        <f t="shared" si="15"/>
        <v>0.33783783783783783</v>
      </c>
      <c r="HM36" s="136">
        <f t="shared" si="15"/>
        <v>0.34106962663975782</v>
      </c>
      <c r="HN36" s="136">
        <f t="shared" si="15"/>
        <v>0.38692098092643051</v>
      </c>
      <c r="HO36" s="136">
        <f t="shared" si="15"/>
        <v>0.39365079365079364</v>
      </c>
      <c r="HP36" s="136">
        <f t="shared" si="15"/>
        <v>0.39885496183206109</v>
      </c>
      <c r="HQ36" s="136" t="str">
        <f t="shared" si="15"/>
        <v xml:space="preserve"> </v>
      </c>
      <c r="HR36" s="136" t="str">
        <f t="shared" si="15"/>
        <v xml:space="preserve"> </v>
      </c>
      <c r="HS36" s="136">
        <f t="shared" si="15"/>
        <v>0.34079844206426485</v>
      </c>
      <c r="HT36" s="136">
        <f t="shared" si="15"/>
        <v>0.35752979414951247</v>
      </c>
      <c r="HU36" s="136">
        <f t="shared" si="15"/>
        <v>0.32574974146845914</v>
      </c>
      <c r="HV36" s="136">
        <f t="shared" si="15"/>
        <v>0.32849162011173183</v>
      </c>
      <c r="HW36" s="136">
        <f t="shared" si="15"/>
        <v>0.31180223285486441</v>
      </c>
      <c r="HX36" s="136" t="str">
        <f t="shared" si="15"/>
        <v xml:space="preserve"> </v>
      </c>
      <c r="HY36" s="136" t="str">
        <f t="shared" si="15"/>
        <v xml:space="preserve"> </v>
      </c>
      <c r="HZ36" s="136">
        <f t="shared" si="15"/>
        <v>0.36069114470842334</v>
      </c>
      <c r="IA36" s="136">
        <f t="shared" si="15"/>
        <v>0.34749999999999998</v>
      </c>
      <c r="IB36" s="136">
        <f t="shared" si="15"/>
        <v>0.35499058380414311</v>
      </c>
      <c r="IC36" s="136">
        <f t="shared" si="15"/>
        <v>0.35232668566001901</v>
      </c>
      <c r="ID36" s="136">
        <f t="shared" si="15"/>
        <v>0.26870229007633589</v>
      </c>
      <c r="IE36" s="136" t="str">
        <f t="shared" si="15"/>
        <v xml:space="preserve"> </v>
      </c>
      <c r="IF36" s="136" t="str">
        <f t="shared" si="15"/>
        <v xml:space="preserve"> </v>
      </c>
      <c r="IG36" s="136">
        <f t="shared" si="15"/>
        <v>0.38005390835579517</v>
      </c>
      <c r="IH36" s="136">
        <f t="shared" si="15"/>
        <v>0.27742749054224464</v>
      </c>
      <c r="II36" s="136">
        <f t="shared" si="15"/>
        <v>0.37764350453172207</v>
      </c>
      <c r="IJ36" s="136">
        <f t="shared" si="15"/>
        <v>0.45698924731182794</v>
      </c>
      <c r="IK36" s="136">
        <f t="shared" si="15"/>
        <v>0.36883942766295708</v>
      </c>
      <c r="IL36" s="136" t="str">
        <f t="shared" si="15"/>
        <v xml:space="preserve"> </v>
      </c>
      <c r="IM36" s="136" t="str">
        <f t="shared" si="15"/>
        <v xml:space="preserve"> </v>
      </c>
      <c r="IN36" s="136">
        <f t="shared" si="15"/>
        <v>0.33394327538883806</v>
      </c>
      <c r="IO36" s="136">
        <f t="shared" si="15"/>
        <v>0.44852282900626678</v>
      </c>
      <c r="IP36" s="136">
        <f t="shared" si="15"/>
        <v>0.45495495495495497</v>
      </c>
      <c r="IQ36" s="136">
        <f t="shared" si="15"/>
        <v>0.32608695652173914</v>
      </c>
      <c r="IR36" s="136">
        <f t="shared" si="15"/>
        <v>0.45291005291005293</v>
      </c>
      <c r="IS36" s="136" t="str">
        <f t="shared" si="15"/>
        <v xml:space="preserve"> </v>
      </c>
      <c r="IT36" s="136" t="str">
        <f t="shared" si="15"/>
        <v xml:space="preserve"> </v>
      </c>
      <c r="IU36" s="136">
        <f t="shared" si="15"/>
        <v>0.41677588466579291</v>
      </c>
      <c r="IV36" s="136">
        <f t="shared" si="15"/>
        <v>0.44769403824521936</v>
      </c>
      <c r="IW36" s="136">
        <f t="shared" si="15"/>
        <v>0.31491712707182318</v>
      </c>
      <c r="IX36" s="136">
        <f t="shared" si="15"/>
        <v>0.4408817635270541</v>
      </c>
      <c r="IY36" s="136">
        <f t="shared" si="15"/>
        <v>0.36966394187102636</v>
      </c>
      <c r="IZ36" s="136">
        <f t="shared" si="15"/>
        <v>0.42590120160213618</v>
      </c>
      <c r="JA36" s="136" t="str">
        <f t="shared" ref="JA36:LL36" si="16">IF(JA5=0," ",(JA10+JA16+JA22+JA26+JA28+JA30)/JA5)</f>
        <v xml:space="preserve"> </v>
      </c>
      <c r="JB36" s="136">
        <f t="shared" si="16"/>
        <v>0.44571428571428573</v>
      </c>
      <c r="JC36" s="136">
        <f t="shared" si="16"/>
        <v>0.35333333333333333</v>
      </c>
      <c r="JD36" s="136">
        <f t="shared" si="16"/>
        <v>0.4163934426229508</v>
      </c>
      <c r="JE36" s="136">
        <f t="shared" si="16"/>
        <v>0.43913043478260871</v>
      </c>
      <c r="JF36" s="136" t="str">
        <f t="shared" si="16"/>
        <v xml:space="preserve"> </v>
      </c>
      <c r="JG36" s="136" t="str">
        <f t="shared" si="16"/>
        <v xml:space="preserve"> </v>
      </c>
      <c r="JH36" s="136" t="str">
        <f t="shared" si="16"/>
        <v xml:space="preserve"> </v>
      </c>
      <c r="JI36" s="136">
        <f t="shared" si="16"/>
        <v>0.41081517352703795</v>
      </c>
      <c r="JJ36" s="136">
        <f t="shared" si="16"/>
        <v>0.36760925449871468</v>
      </c>
      <c r="JK36" s="136">
        <f t="shared" si="16"/>
        <v>0.41296625222024869</v>
      </c>
      <c r="JL36" s="136">
        <f t="shared" si="16"/>
        <v>0.42840646651270209</v>
      </c>
      <c r="JM36" s="136">
        <f t="shared" si="16"/>
        <v>0.42547425474254741</v>
      </c>
      <c r="JN36" s="136">
        <f t="shared" si="16"/>
        <v>0.45245398773006135</v>
      </c>
      <c r="JO36" s="136" t="str">
        <f t="shared" si="16"/>
        <v xml:space="preserve"> </v>
      </c>
      <c r="JP36" s="136">
        <f t="shared" si="16"/>
        <v>0.37873754152823919</v>
      </c>
      <c r="JQ36" s="136">
        <f t="shared" si="16"/>
        <v>0.41235392320534225</v>
      </c>
      <c r="JR36" s="136">
        <f t="shared" si="16"/>
        <v>0.40594059405940597</v>
      </c>
      <c r="JS36" s="136">
        <f t="shared" si="16"/>
        <v>0.43263288009888751</v>
      </c>
      <c r="JT36" s="136">
        <f t="shared" si="16"/>
        <v>0.39153439153439151</v>
      </c>
      <c r="JU36" s="136" t="str">
        <f t="shared" si="16"/>
        <v xml:space="preserve"> </v>
      </c>
      <c r="JV36" s="136" t="str">
        <f t="shared" si="16"/>
        <v xml:space="preserve"> </v>
      </c>
      <c r="JW36" s="136">
        <f t="shared" si="16"/>
        <v>0.45070422535211269</v>
      </c>
      <c r="JX36" s="136">
        <f t="shared" si="16"/>
        <v>0.37324703344120819</v>
      </c>
      <c r="JY36" s="136">
        <f t="shared" si="16"/>
        <v>0.45</v>
      </c>
      <c r="JZ36" s="136">
        <f t="shared" si="16"/>
        <v>0.41837571780147664</v>
      </c>
      <c r="KA36" s="136">
        <f t="shared" si="16"/>
        <v>0.4098360655737705</v>
      </c>
      <c r="KB36" s="136" t="str">
        <f t="shared" si="16"/>
        <v xml:space="preserve"> </v>
      </c>
      <c r="KC36" s="136" t="str">
        <f t="shared" si="16"/>
        <v xml:space="preserve"> </v>
      </c>
      <c r="KD36" s="136" t="str">
        <f t="shared" si="16"/>
        <v xml:space="preserve"> </v>
      </c>
      <c r="KE36" s="136">
        <f t="shared" si="16"/>
        <v>0.45333333333333331</v>
      </c>
      <c r="KF36" s="136">
        <f t="shared" si="16"/>
        <v>0.44959677419354838</v>
      </c>
      <c r="KG36" s="136">
        <f t="shared" si="16"/>
        <v>0.38</v>
      </c>
      <c r="KH36" s="136">
        <f t="shared" si="16"/>
        <v>0.37526881720430105</v>
      </c>
      <c r="KI36" s="136" t="str">
        <f t="shared" si="16"/>
        <v xml:space="preserve"> </v>
      </c>
      <c r="KJ36" s="136" t="str">
        <f t="shared" si="16"/>
        <v xml:space="preserve"> </v>
      </c>
      <c r="KK36" s="136">
        <f t="shared" si="16"/>
        <v>0.44804716285924834</v>
      </c>
      <c r="KL36" s="136">
        <f t="shared" si="16"/>
        <v>0.43546441495778043</v>
      </c>
      <c r="KM36" s="136">
        <f t="shared" si="16"/>
        <v>0.37794299876084264</v>
      </c>
      <c r="KN36" s="136">
        <f t="shared" si="16"/>
        <v>0.37333333333333335</v>
      </c>
      <c r="KO36" s="136">
        <f t="shared" si="16"/>
        <v>0.40873460246360582</v>
      </c>
      <c r="KP36" s="136" t="str">
        <f t="shared" si="16"/>
        <v xml:space="preserve"> </v>
      </c>
      <c r="KQ36" s="136" t="str">
        <f t="shared" si="16"/>
        <v xml:space="preserve"> </v>
      </c>
      <c r="KR36" s="136">
        <f t="shared" si="16"/>
        <v>0.36549019607843136</v>
      </c>
      <c r="KS36" s="136">
        <f t="shared" si="16"/>
        <v>0.42871794871794872</v>
      </c>
      <c r="KT36" s="136">
        <f t="shared" si="16"/>
        <v>0.3724137931034483</v>
      </c>
      <c r="KU36" s="136">
        <f t="shared" si="16"/>
        <v>0.43435582822085889</v>
      </c>
      <c r="KV36" s="136">
        <f t="shared" si="16"/>
        <v>0.42975206611570249</v>
      </c>
      <c r="KW36" s="136" t="str">
        <f t="shared" si="16"/>
        <v xml:space="preserve"> </v>
      </c>
      <c r="KX36" s="136" t="str">
        <f t="shared" si="16"/>
        <v xml:space="preserve"> </v>
      </c>
      <c r="KY36" s="136" t="str">
        <f t="shared" si="16"/>
        <v xml:space="preserve"> </v>
      </c>
      <c r="KZ36" s="136">
        <f t="shared" si="16"/>
        <v>0.41621621621621624</v>
      </c>
      <c r="LA36" s="136">
        <f t="shared" si="16"/>
        <v>0.3962920046349942</v>
      </c>
      <c r="LB36" s="136">
        <f t="shared" si="16"/>
        <v>0.42229199372056514</v>
      </c>
      <c r="LC36" s="136">
        <f t="shared" si="16"/>
        <v>0.41460674157303373</v>
      </c>
      <c r="LD36" s="136" t="str">
        <f t="shared" si="16"/>
        <v xml:space="preserve"> </v>
      </c>
      <c r="LE36" s="136" t="str">
        <f t="shared" si="16"/>
        <v xml:space="preserve"> </v>
      </c>
      <c r="LF36" s="136">
        <f t="shared" si="16"/>
        <v>0.41</v>
      </c>
      <c r="LG36" s="136">
        <f t="shared" si="16"/>
        <v>0.41623711340206188</v>
      </c>
      <c r="LH36" s="136">
        <f t="shared" si="16"/>
        <v>0.42190305206463197</v>
      </c>
      <c r="LI36" s="136">
        <f t="shared" si="16"/>
        <v>0.41003460207612458</v>
      </c>
      <c r="LJ36" s="136">
        <f t="shared" si="16"/>
        <v>0.4469496021220159</v>
      </c>
      <c r="LK36" s="136" t="str">
        <f t="shared" si="16"/>
        <v xml:space="preserve"> </v>
      </c>
      <c r="LL36" s="136" t="str">
        <f t="shared" si="16"/>
        <v xml:space="preserve"> </v>
      </c>
      <c r="LM36" s="136" t="str">
        <f t="shared" ref="LM36:NF36" si="17">IF(LM5=0," ",(LM10+LM16+LM22+LM26+LM28+LM30)/LM5)</f>
        <v xml:space="preserve"> </v>
      </c>
      <c r="LN36" s="136">
        <f t="shared" si="17"/>
        <v>0.39980732177263967</v>
      </c>
      <c r="LO36" s="136">
        <f t="shared" si="17"/>
        <v>0.46263345195729538</v>
      </c>
      <c r="LP36" s="136">
        <f t="shared" si="17"/>
        <v>0.45161290322580644</v>
      </c>
      <c r="LQ36" s="136">
        <f t="shared" si="17"/>
        <v>0.39744680851063829</v>
      </c>
      <c r="LR36" s="136" t="str">
        <f t="shared" si="17"/>
        <v xml:space="preserve"> </v>
      </c>
      <c r="LS36" s="136" t="str">
        <f t="shared" si="17"/>
        <v xml:space="preserve"> </v>
      </c>
      <c r="LT36" s="136">
        <f t="shared" si="17"/>
        <v>0.44374999999999998</v>
      </c>
      <c r="LU36" s="136">
        <f t="shared" si="17"/>
        <v>0.40957446808510639</v>
      </c>
      <c r="LV36" s="136">
        <f t="shared" si="17"/>
        <v>0.39478584729981381</v>
      </c>
      <c r="LW36" s="136">
        <f t="shared" si="17"/>
        <v>0.40749999999999997</v>
      </c>
      <c r="LX36" s="136">
        <f t="shared" si="17"/>
        <v>0.43840579710144928</v>
      </c>
      <c r="LY36" s="136" t="str">
        <f t="shared" si="17"/>
        <v xml:space="preserve"> </v>
      </c>
      <c r="LZ36" s="136" t="str">
        <f t="shared" si="17"/>
        <v xml:space="preserve"> </v>
      </c>
      <c r="MA36" s="136">
        <f t="shared" si="17"/>
        <v>0.44821092278719399</v>
      </c>
      <c r="MB36" s="136">
        <f t="shared" si="17"/>
        <v>0.4358974358974359</v>
      </c>
      <c r="MC36" s="136">
        <f t="shared" si="17"/>
        <v>0.4528023598820059</v>
      </c>
      <c r="MD36" s="136">
        <f t="shared" si="17"/>
        <v>0.42985971943887774</v>
      </c>
      <c r="ME36" s="136">
        <f t="shared" si="17"/>
        <v>0.45045045045045046</v>
      </c>
      <c r="MF36" s="136" t="str">
        <f t="shared" si="17"/>
        <v xml:space="preserve"> </v>
      </c>
      <c r="MG36" s="136" t="str">
        <f t="shared" si="17"/>
        <v xml:space="preserve"> </v>
      </c>
      <c r="MH36" s="136">
        <f t="shared" si="17"/>
        <v>0.40080971659919029</v>
      </c>
      <c r="MI36" s="136">
        <f t="shared" si="17"/>
        <v>0.37194337194337196</v>
      </c>
      <c r="MJ36" s="136" t="str">
        <f t="shared" si="17"/>
        <v xml:space="preserve"> </v>
      </c>
      <c r="MK36" s="136">
        <f t="shared" si="17"/>
        <v>0.4160756501182033</v>
      </c>
      <c r="ML36" s="136">
        <f t="shared" si="17"/>
        <v>0.40270935960591131</v>
      </c>
      <c r="MM36" s="136" t="str">
        <f t="shared" si="17"/>
        <v xml:space="preserve"> </v>
      </c>
      <c r="MN36" s="136" t="str">
        <f t="shared" si="17"/>
        <v xml:space="preserve"> </v>
      </c>
      <c r="MO36" s="136">
        <f t="shared" si="17"/>
        <v>0.41326530612244899</v>
      </c>
      <c r="MP36" s="136">
        <f t="shared" si="17"/>
        <v>0.42718446601941745</v>
      </c>
      <c r="MQ36" s="136">
        <f t="shared" si="17"/>
        <v>0.432</v>
      </c>
      <c r="MR36" s="136">
        <f t="shared" si="17"/>
        <v>0.37709497206703912</v>
      </c>
      <c r="MS36" s="136" t="str">
        <f t="shared" si="17"/>
        <v xml:space="preserve"> </v>
      </c>
      <c r="MT36" s="136" t="str">
        <f t="shared" si="17"/>
        <v xml:space="preserve"> </v>
      </c>
      <c r="MU36" s="136" t="str">
        <f t="shared" si="17"/>
        <v xml:space="preserve"> </v>
      </c>
      <c r="MV36" s="136">
        <f t="shared" si="17"/>
        <v>0.30407124681933845</v>
      </c>
      <c r="MW36" s="136">
        <f t="shared" si="17"/>
        <v>0.35455861070911721</v>
      </c>
      <c r="MX36" s="136">
        <f t="shared" si="17"/>
        <v>0.4192495921696574</v>
      </c>
      <c r="MY36" s="136">
        <f t="shared" si="17"/>
        <v>0.47058823529411764</v>
      </c>
      <c r="MZ36" s="136">
        <f t="shared" si="17"/>
        <v>0.4460093896713615</v>
      </c>
      <c r="NA36" s="136" t="str">
        <f t="shared" si="17"/>
        <v xml:space="preserve"> </v>
      </c>
      <c r="NB36" s="136" t="str">
        <f t="shared" si="17"/>
        <v xml:space="preserve"> </v>
      </c>
      <c r="NC36" s="136">
        <f t="shared" si="17"/>
        <v>0.38753387533875339</v>
      </c>
      <c r="ND36" s="136">
        <f t="shared" si="17"/>
        <v>0.37749120750293086</v>
      </c>
      <c r="NE36" s="136">
        <f t="shared" si="17"/>
        <v>0.46041055718475071</v>
      </c>
      <c r="NF36" s="136">
        <f t="shared" si="17"/>
        <v>0.36041834271922768</v>
      </c>
      <c r="NG36" s="136">
        <f t="shared" ref="NG36:NI36" si="18">IF(NG5=0," ",(NG10+NG16+NG22+NG26+NG28+NG30)/NG5)</f>
        <v>0.44444444444444442</v>
      </c>
      <c r="NH36" s="136" t="str">
        <f t="shared" si="18"/>
        <v xml:space="preserve"> </v>
      </c>
      <c r="NI36" s="136" t="str">
        <f t="shared" si="18"/>
        <v xml:space="preserve"> </v>
      </c>
    </row>
    <row r="37" spans="1:373" x14ac:dyDescent="0.2">
      <c r="A37" s="17" t="s">
        <v>25</v>
      </c>
      <c r="B37" s="137">
        <f t="shared" ref="B37:I37" si="19">IF(SUM(B11:B14)=0," ",(B9+B10)/(((B11+B12)*0.25)+(B13+B14)))</f>
        <v>0</v>
      </c>
      <c r="C37" s="137">
        <f t="shared" si="19"/>
        <v>0.32706459525756337</v>
      </c>
      <c r="D37" s="137">
        <f t="shared" si="19"/>
        <v>0.34153691612255149</v>
      </c>
      <c r="E37" s="137">
        <f t="shared" si="19"/>
        <v>0.34482758620689657</v>
      </c>
      <c r="F37" s="137" t="str">
        <f t="shared" si="19"/>
        <v xml:space="preserve"> </v>
      </c>
      <c r="G37" s="137" t="str">
        <f t="shared" si="19"/>
        <v xml:space="preserve"> </v>
      </c>
      <c r="H37" s="137" t="str">
        <f t="shared" si="19"/>
        <v xml:space="preserve"> </v>
      </c>
      <c r="I37" s="137" t="str">
        <f t="shared" si="19"/>
        <v xml:space="preserve"> </v>
      </c>
      <c r="J37" s="137">
        <f t="shared" ref="J37:BU37" si="20">IF(SUM(J11:J14)=0," ",(J9+J10)/(((J11+J12)*0.25)+(J13+J14)))</f>
        <v>0.39589442815249265</v>
      </c>
      <c r="K37" s="137">
        <f t="shared" si="20"/>
        <v>0</v>
      </c>
      <c r="L37" s="137">
        <f t="shared" si="20"/>
        <v>0.36842105263157893</v>
      </c>
      <c r="M37" s="137">
        <f t="shared" si="20"/>
        <v>0.27586206896551724</v>
      </c>
      <c r="N37" s="137">
        <f t="shared" si="20"/>
        <v>0.40040040040040042</v>
      </c>
      <c r="O37" s="137" t="str">
        <f t="shared" si="20"/>
        <v xml:space="preserve"> </v>
      </c>
      <c r="P37" s="137" t="str">
        <f t="shared" si="20"/>
        <v xml:space="preserve"> </v>
      </c>
      <c r="Q37" s="137">
        <f t="shared" si="20"/>
        <v>0.30864197530864196</v>
      </c>
      <c r="R37" s="137" t="str">
        <f t="shared" si="20"/>
        <v xml:space="preserve"> </v>
      </c>
      <c r="S37" s="137" t="str">
        <f t="shared" si="20"/>
        <v xml:space="preserve"> </v>
      </c>
      <c r="T37" s="137">
        <f t="shared" si="20"/>
        <v>0.39771015366074119</v>
      </c>
      <c r="U37" s="137">
        <f t="shared" si="20"/>
        <v>0.352112676056338</v>
      </c>
      <c r="V37" s="137" t="str">
        <f t="shared" si="20"/>
        <v xml:space="preserve"> </v>
      </c>
      <c r="W37" s="137" t="str">
        <f t="shared" si="20"/>
        <v xml:space="preserve"> </v>
      </c>
      <c r="X37" s="137">
        <f t="shared" si="20"/>
        <v>0.52083333333333337</v>
      </c>
      <c r="Y37" s="137" t="str">
        <f t="shared" si="20"/>
        <v xml:space="preserve"> </v>
      </c>
      <c r="Z37" s="137" t="str">
        <f t="shared" si="20"/>
        <v xml:space="preserve"> </v>
      </c>
      <c r="AA37" s="137">
        <f t="shared" si="20"/>
        <v>0.3113345224582455</v>
      </c>
      <c r="AB37" s="137">
        <f t="shared" si="20"/>
        <v>0.46034816247582205</v>
      </c>
      <c r="AC37" s="137" t="str">
        <f t="shared" si="20"/>
        <v xml:space="preserve"> </v>
      </c>
      <c r="AD37" s="137" t="str">
        <f t="shared" si="20"/>
        <v xml:space="preserve"> </v>
      </c>
      <c r="AE37" s="137" t="str">
        <f t="shared" si="20"/>
        <v xml:space="preserve"> </v>
      </c>
      <c r="AF37" s="137" t="str">
        <f t="shared" si="20"/>
        <v xml:space="preserve"> </v>
      </c>
      <c r="AG37" s="137">
        <f t="shared" si="20"/>
        <v>0.333889816360601</v>
      </c>
      <c r="AH37" s="137" t="str">
        <f t="shared" si="20"/>
        <v xml:space="preserve"> </v>
      </c>
      <c r="AI37" s="137">
        <f t="shared" si="20"/>
        <v>0.31261913839115518</v>
      </c>
      <c r="AJ37" s="137" t="str">
        <f t="shared" si="20"/>
        <v xml:space="preserve"> </v>
      </c>
      <c r="AK37" s="137" t="str">
        <f t="shared" si="20"/>
        <v xml:space="preserve"> </v>
      </c>
      <c r="AL37" s="137" t="str">
        <f t="shared" si="20"/>
        <v xml:space="preserve"> </v>
      </c>
      <c r="AM37" s="137">
        <f t="shared" si="20"/>
        <v>0.38910505836575876</v>
      </c>
      <c r="AN37" s="137">
        <f t="shared" si="20"/>
        <v>0.34393809114359414</v>
      </c>
      <c r="AO37" s="137">
        <f t="shared" si="20"/>
        <v>0.31828128108215636</v>
      </c>
      <c r="AP37" s="137">
        <f t="shared" si="20"/>
        <v>0.37439613526570048</v>
      </c>
      <c r="AQ37" s="137" t="str">
        <f t="shared" si="20"/>
        <v xml:space="preserve"> </v>
      </c>
      <c r="AR37" s="137" t="str">
        <f t="shared" si="20"/>
        <v xml:space="preserve"> </v>
      </c>
      <c r="AS37" s="137">
        <f t="shared" si="20"/>
        <v>0.36231884057971014</v>
      </c>
      <c r="AT37" s="137">
        <f t="shared" si="20"/>
        <v>0.36704730831973897</v>
      </c>
      <c r="AU37" s="137">
        <f t="shared" si="20"/>
        <v>0.37435657463734207</v>
      </c>
      <c r="AV37" s="137">
        <f t="shared" si="20"/>
        <v>0.39603960396039606</v>
      </c>
      <c r="AW37" s="137">
        <f t="shared" si="20"/>
        <v>0.35531260676460541</v>
      </c>
      <c r="AX37" s="137">
        <f t="shared" si="20"/>
        <v>0.34682080924855491</v>
      </c>
      <c r="AY37" s="137" t="str">
        <f t="shared" si="20"/>
        <v xml:space="preserve"> </v>
      </c>
      <c r="AZ37" s="137">
        <f t="shared" si="20"/>
        <v>0.36496350364963503</v>
      </c>
      <c r="BA37" s="137" t="str">
        <f t="shared" si="20"/>
        <v xml:space="preserve"> </v>
      </c>
      <c r="BB37" s="137">
        <f t="shared" si="20"/>
        <v>0.36923076923076925</v>
      </c>
      <c r="BC37" s="137">
        <f t="shared" si="20"/>
        <v>0.37037037037037035</v>
      </c>
      <c r="BD37" s="137">
        <f t="shared" si="20"/>
        <v>0.44817927170868349</v>
      </c>
      <c r="BE37" s="137" t="str">
        <f t="shared" si="20"/>
        <v xml:space="preserve"> </v>
      </c>
      <c r="BF37" s="137" t="str">
        <f t="shared" si="20"/>
        <v xml:space="preserve"> </v>
      </c>
      <c r="BG37" s="137">
        <f t="shared" si="20"/>
        <v>0.42662116040955633</v>
      </c>
      <c r="BH37" s="137">
        <f t="shared" si="20"/>
        <v>0.33291718684977112</v>
      </c>
      <c r="BI37" s="137">
        <f t="shared" si="20"/>
        <v>0.74836295603367631</v>
      </c>
      <c r="BJ37" s="137">
        <f t="shared" si="20"/>
        <v>0.25204788909892878</v>
      </c>
      <c r="BK37" s="137">
        <f t="shared" si="20"/>
        <v>0.78740157480314965</v>
      </c>
      <c r="BL37" s="137" t="str">
        <f t="shared" si="20"/>
        <v xml:space="preserve"> </v>
      </c>
      <c r="BM37" s="137" t="str">
        <f t="shared" si="20"/>
        <v xml:space="preserve"> </v>
      </c>
      <c r="BN37" s="137">
        <f t="shared" si="20"/>
        <v>0.39880358923230308</v>
      </c>
      <c r="BO37" s="137">
        <f t="shared" si="20"/>
        <v>0.56451612903225812</v>
      </c>
      <c r="BP37" s="137">
        <f t="shared" si="20"/>
        <v>0.56202328382175837</v>
      </c>
      <c r="BQ37" s="137">
        <f t="shared" si="20"/>
        <v>0.47881254488867608</v>
      </c>
      <c r="BR37" s="137" t="str">
        <f t="shared" si="20"/>
        <v xml:space="preserve"> </v>
      </c>
      <c r="BS37" s="137" t="str">
        <f t="shared" si="20"/>
        <v xml:space="preserve"> </v>
      </c>
      <c r="BT37" s="137" t="str">
        <f t="shared" si="20"/>
        <v xml:space="preserve"> </v>
      </c>
      <c r="BU37" s="137" t="str">
        <f t="shared" si="20"/>
        <v xml:space="preserve"> </v>
      </c>
      <c r="BV37" s="137">
        <f t="shared" ref="BV37:EG37" si="21">IF(SUM(BV11:BV14)=0," ",(BV9+BV10)/(((BV11+BV12)*0.25)+(BV13+BV14)))</f>
        <v>0.43988269794721407</v>
      </c>
      <c r="BW37" s="137" t="str">
        <f t="shared" si="21"/>
        <v xml:space="preserve"> </v>
      </c>
      <c r="BX37" s="137" t="str">
        <f t="shared" si="21"/>
        <v xml:space="preserve"> </v>
      </c>
      <c r="BY37" s="137">
        <f t="shared" si="21"/>
        <v>0.35335689045936397</v>
      </c>
      <c r="BZ37" s="137" t="str">
        <f t="shared" si="21"/>
        <v xml:space="preserve"> </v>
      </c>
      <c r="CA37" s="137" t="str">
        <f t="shared" si="21"/>
        <v xml:space="preserve"> </v>
      </c>
      <c r="CB37" s="137">
        <f t="shared" si="21"/>
        <v>0.35536602700781805</v>
      </c>
      <c r="CC37" s="137" t="str">
        <f t="shared" si="21"/>
        <v xml:space="preserve"> </v>
      </c>
      <c r="CD37" s="137" t="str">
        <f t="shared" si="21"/>
        <v xml:space="preserve"> </v>
      </c>
      <c r="CE37" s="137">
        <f t="shared" si="21"/>
        <v>0.35486160397444999</v>
      </c>
      <c r="CF37" s="137">
        <f t="shared" si="21"/>
        <v>0.58394160583941601</v>
      </c>
      <c r="CG37" s="137" t="str">
        <f t="shared" si="21"/>
        <v xml:space="preserve"> </v>
      </c>
      <c r="CH37" s="137" t="str">
        <f t="shared" si="21"/>
        <v xml:space="preserve"> </v>
      </c>
      <c r="CI37" s="137" t="str">
        <f t="shared" si="21"/>
        <v xml:space="preserve"> </v>
      </c>
      <c r="CJ37" s="137" t="str">
        <f t="shared" si="21"/>
        <v xml:space="preserve"> </v>
      </c>
      <c r="CK37" s="137" t="str">
        <f t="shared" si="21"/>
        <v xml:space="preserve"> </v>
      </c>
      <c r="CL37" s="137" t="str">
        <f t="shared" si="21"/>
        <v xml:space="preserve"> </v>
      </c>
      <c r="CM37" s="137">
        <f t="shared" si="21"/>
        <v>0.46403712296983757</v>
      </c>
      <c r="CN37" s="137" t="str">
        <f t="shared" si="21"/>
        <v xml:space="preserve"> </v>
      </c>
      <c r="CO37" s="137" t="str">
        <f t="shared" si="21"/>
        <v xml:space="preserve"> </v>
      </c>
      <c r="CP37" s="137">
        <f t="shared" si="21"/>
        <v>0.30534351145038169</v>
      </c>
      <c r="CQ37" s="137" t="str">
        <f t="shared" si="21"/>
        <v xml:space="preserve"> </v>
      </c>
      <c r="CR37" s="137" t="str">
        <f t="shared" si="21"/>
        <v xml:space="preserve"> </v>
      </c>
      <c r="CS37" s="137">
        <f t="shared" si="21"/>
        <v>0.29739776951672864</v>
      </c>
      <c r="CT37" s="137" t="str">
        <f t="shared" si="21"/>
        <v xml:space="preserve"> </v>
      </c>
      <c r="CU37" s="137" t="str">
        <f t="shared" si="21"/>
        <v xml:space="preserve"> </v>
      </c>
      <c r="CV37" s="137" t="str">
        <f t="shared" si="21"/>
        <v xml:space="preserve"> </v>
      </c>
      <c r="CW37" s="137" t="str">
        <f t="shared" si="21"/>
        <v xml:space="preserve"> </v>
      </c>
      <c r="CX37" s="137" t="str">
        <f t="shared" si="21"/>
        <v xml:space="preserve"> </v>
      </c>
      <c r="CY37" s="137" t="str">
        <f t="shared" si="21"/>
        <v xml:space="preserve"> </v>
      </c>
      <c r="CZ37" s="137" t="str">
        <f t="shared" si="21"/>
        <v xml:space="preserve"> </v>
      </c>
      <c r="DA37" s="137" t="str">
        <f t="shared" si="21"/>
        <v xml:space="preserve"> </v>
      </c>
      <c r="DB37" s="137" t="str">
        <f t="shared" si="21"/>
        <v xml:space="preserve"> </v>
      </c>
      <c r="DC37" s="137" t="str">
        <f t="shared" si="21"/>
        <v xml:space="preserve"> </v>
      </c>
      <c r="DD37" s="137" t="str">
        <f t="shared" si="21"/>
        <v xml:space="preserve"> </v>
      </c>
      <c r="DE37" s="137" t="str">
        <f t="shared" si="21"/>
        <v xml:space="preserve"> </v>
      </c>
      <c r="DF37" s="137" t="str">
        <f t="shared" si="21"/>
        <v xml:space="preserve"> </v>
      </c>
      <c r="DG37" s="137">
        <f t="shared" si="21"/>
        <v>0.32730404823428078</v>
      </c>
      <c r="DH37" s="137">
        <f t="shared" si="21"/>
        <v>0.375</v>
      </c>
      <c r="DI37" s="137" t="str">
        <f t="shared" si="21"/>
        <v xml:space="preserve"> </v>
      </c>
      <c r="DJ37" s="137" t="str">
        <f t="shared" si="21"/>
        <v xml:space="preserve"> </v>
      </c>
      <c r="DK37" s="137">
        <f t="shared" si="21"/>
        <v>0.44642857142857145</v>
      </c>
      <c r="DL37" s="137" t="str">
        <f t="shared" si="21"/>
        <v xml:space="preserve"> </v>
      </c>
      <c r="DM37" s="137" t="str">
        <f t="shared" si="21"/>
        <v xml:space="preserve"> </v>
      </c>
      <c r="DN37" s="137" t="str">
        <f t="shared" si="21"/>
        <v xml:space="preserve"> </v>
      </c>
      <c r="DO37" s="137">
        <f t="shared" si="21"/>
        <v>0.39106145251396646</v>
      </c>
      <c r="DP37" s="137" t="str">
        <f t="shared" si="21"/>
        <v xml:space="preserve"> </v>
      </c>
      <c r="DQ37" s="137" t="str">
        <f t="shared" si="21"/>
        <v xml:space="preserve"> </v>
      </c>
      <c r="DR37" s="137">
        <f t="shared" si="21"/>
        <v>0</v>
      </c>
      <c r="DS37" s="137" t="str">
        <f t="shared" si="21"/>
        <v xml:space="preserve"> </v>
      </c>
      <c r="DT37" s="137" t="str">
        <f t="shared" si="21"/>
        <v xml:space="preserve"> </v>
      </c>
      <c r="DU37" s="137" t="str">
        <f t="shared" si="21"/>
        <v xml:space="preserve"> </v>
      </c>
      <c r="DV37" s="137" t="str">
        <f t="shared" si="21"/>
        <v xml:space="preserve"> </v>
      </c>
      <c r="DW37" s="137" t="str">
        <f t="shared" si="21"/>
        <v xml:space="preserve"> </v>
      </c>
      <c r="DX37" s="137" t="str">
        <f t="shared" si="21"/>
        <v xml:space="preserve"> </v>
      </c>
      <c r="DY37" s="137">
        <f t="shared" si="21"/>
        <v>0.48076923076923078</v>
      </c>
      <c r="DZ37" s="137" t="str">
        <f t="shared" si="21"/>
        <v xml:space="preserve"> </v>
      </c>
      <c r="EA37" s="137" t="str">
        <f t="shared" si="21"/>
        <v xml:space="preserve"> </v>
      </c>
      <c r="EB37" s="137" t="str">
        <f t="shared" si="21"/>
        <v xml:space="preserve"> </v>
      </c>
      <c r="EC37" s="137" t="str">
        <f t="shared" si="21"/>
        <v xml:space="preserve"> </v>
      </c>
      <c r="ED37" s="137" t="str">
        <f t="shared" si="21"/>
        <v xml:space="preserve"> </v>
      </c>
      <c r="EE37" s="137" t="str">
        <f t="shared" si="21"/>
        <v xml:space="preserve"> </v>
      </c>
      <c r="EF37" s="137">
        <f t="shared" si="21"/>
        <v>0.33333333333333331</v>
      </c>
      <c r="EG37" s="137" t="str">
        <f t="shared" si="21"/>
        <v xml:space="preserve"> </v>
      </c>
      <c r="EH37" s="137" t="str">
        <f t="shared" ref="EH37:GS37" si="22">IF(SUM(EH11:EH14)=0," ",(EH9+EH10)/(((EH11+EH12)*0.25)+(EH13+EH14)))</f>
        <v xml:space="preserve"> </v>
      </c>
      <c r="EI37" s="137">
        <f t="shared" si="22"/>
        <v>0.46992481203007519</v>
      </c>
      <c r="EJ37" s="137">
        <f t="shared" si="22"/>
        <v>0.28169014084507044</v>
      </c>
      <c r="EK37" s="137" t="str">
        <f t="shared" si="22"/>
        <v xml:space="preserve"> </v>
      </c>
      <c r="EL37" s="137" t="str">
        <f t="shared" si="22"/>
        <v xml:space="preserve"> </v>
      </c>
      <c r="EM37" s="137">
        <f t="shared" si="22"/>
        <v>0.3436426116838488</v>
      </c>
      <c r="EN37" s="137" t="str">
        <f t="shared" si="22"/>
        <v xml:space="preserve"> </v>
      </c>
      <c r="EO37" s="137">
        <f t="shared" si="22"/>
        <v>0.38216560509554143</v>
      </c>
      <c r="EP37" s="137" t="str">
        <f t="shared" si="22"/>
        <v xml:space="preserve"> </v>
      </c>
      <c r="EQ37" s="137" t="str">
        <f t="shared" si="22"/>
        <v xml:space="preserve"> </v>
      </c>
      <c r="ER37" s="137" t="str">
        <f t="shared" si="22"/>
        <v xml:space="preserve"> </v>
      </c>
      <c r="ES37" s="137" t="str">
        <f t="shared" si="22"/>
        <v xml:space="preserve"> </v>
      </c>
      <c r="ET37" s="137">
        <f t="shared" si="22"/>
        <v>0.40160642570281124</v>
      </c>
      <c r="EU37" s="137">
        <f t="shared" si="22"/>
        <v>0.32128514056224899</v>
      </c>
      <c r="EV37" s="137">
        <f t="shared" si="22"/>
        <v>0.37878787878787878</v>
      </c>
      <c r="EW37" s="137">
        <f t="shared" si="22"/>
        <v>0.40368582711715667</v>
      </c>
      <c r="EX37" s="137" t="str">
        <f t="shared" si="22"/>
        <v xml:space="preserve"> </v>
      </c>
      <c r="EY37" s="137" t="str">
        <f t="shared" si="22"/>
        <v xml:space="preserve"> </v>
      </c>
      <c r="EZ37" s="137" t="str">
        <f t="shared" si="22"/>
        <v xml:space="preserve"> </v>
      </c>
      <c r="FA37" s="137" t="str">
        <f t="shared" si="22"/>
        <v xml:space="preserve"> </v>
      </c>
      <c r="FB37" s="137" t="str">
        <f t="shared" si="22"/>
        <v xml:space="preserve"> </v>
      </c>
      <c r="FC37" s="137">
        <f t="shared" si="22"/>
        <v>0.28368794326241137</v>
      </c>
      <c r="FD37" s="137" t="str">
        <f t="shared" si="22"/>
        <v xml:space="preserve"> </v>
      </c>
      <c r="FE37" s="137" t="str">
        <f t="shared" si="22"/>
        <v xml:space="preserve"> </v>
      </c>
      <c r="FF37" s="137" t="str">
        <f t="shared" si="22"/>
        <v xml:space="preserve"> </v>
      </c>
      <c r="FG37" s="137" t="str">
        <f t="shared" si="22"/>
        <v xml:space="preserve"> </v>
      </c>
      <c r="FH37" s="137">
        <f t="shared" si="22"/>
        <v>0.38301947015639964</v>
      </c>
      <c r="FI37" s="137" t="str">
        <f t="shared" si="22"/>
        <v xml:space="preserve"> </v>
      </c>
      <c r="FJ37" s="137" t="str">
        <f t="shared" si="22"/>
        <v xml:space="preserve"> </v>
      </c>
      <c r="FK37" s="137" t="str">
        <f t="shared" si="22"/>
        <v xml:space="preserve"> </v>
      </c>
      <c r="FL37" s="137" t="str">
        <f t="shared" si="22"/>
        <v xml:space="preserve"> </v>
      </c>
      <c r="FM37" s="137" t="str">
        <f t="shared" si="22"/>
        <v xml:space="preserve"> </v>
      </c>
      <c r="FN37" s="137" t="str">
        <f t="shared" si="22"/>
        <v xml:space="preserve"> </v>
      </c>
      <c r="FO37" s="137">
        <f t="shared" si="22"/>
        <v>0.37914691943127959</v>
      </c>
      <c r="FP37" s="137" t="str">
        <f t="shared" si="22"/>
        <v xml:space="preserve"> </v>
      </c>
      <c r="FQ37" s="137" t="str">
        <f t="shared" si="22"/>
        <v xml:space="preserve"> </v>
      </c>
      <c r="FR37" s="137" t="str">
        <f t="shared" si="22"/>
        <v xml:space="preserve"> </v>
      </c>
      <c r="FS37" s="137" t="str">
        <f t="shared" si="22"/>
        <v xml:space="preserve"> </v>
      </c>
      <c r="FT37" s="137" t="str">
        <f t="shared" si="22"/>
        <v xml:space="preserve"> </v>
      </c>
      <c r="FU37" s="137" t="str">
        <f t="shared" si="22"/>
        <v xml:space="preserve"> </v>
      </c>
      <c r="FV37" s="137" t="str">
        <f t="shared" si="22"/>
        <v xml:space="preserve"> </v>
      </c>
      <c r="FW37" s="137">
        <f t="shared" si="22"/>
        <v>0.37807606263982102</v>
      </c>
      <c r="FX37" s="137" t="str">
        <f t="shared" si="22"/>
        <v xml:space="preserve"> </v>
      </c>
      <c r="FY37" s="137" t="str">
        <f t="shared" si="22"/>
        <v xml:space="preserve"> </v>
      </c>
      <c r="FZ37" s="137" t="str">
        <f t="shared" si="22"/>
        <v xml:space="preserve"> </v>
      </c>
      <c r="GA37" s="137" t="str">
        <f t="shared" si="22"/>
        <v xml:space="preserve"> </v>
      </c>
      <c r="GB37" s="137" t="str">
        <f t="shared" si="22"/>
        <v xml:space="preserve"> </v>
      </c>
      <c r="GC37" s="137" t="str">
        <f t="shared" si="22"/>
        <v xml:space="preserve"> </v>
      </c>
      <c r="GD37" s="137">
        <f t="shared" si="22"/>
        <v>0.37255510710959328</v>
      </c>
      <c r="GE37" s="137" t="str">
        <f t="shared" si="22"/>
        <v xml:space="preserve"> </v>
      </c>
      <c r="GF37" s="137" t="str">
        <f t="shared" si="22"/>
        <v xml:space="preserve"> </v>
      </c>
      <c r="GG37" s="137" t="str">
        <f t="shared" si="22"/>
        <v xml:space="preserve"> </v>
      </c>
      <c r="GH37" s="137" t="str">
        <f t="shared" si="22"/>
        <v xml:space="preserve"> </v>
      </c>
      <c r="GI37" s="137" t="str">
        <f t="shared" si="22"/>
        <v xml:space="preserve"> </v>
      </c>
      <c r="GJ37" s="137" t="str">
        <f t="shared" si="22"/>
        <v xml:space="preserve"> </v>
      </c>
      <c r="GK37" s="137" t="str">
        <f t="shared" si="22"/>
        <v xml:space="preserve"> </v>
      </c>
      <c r="GL37" s="137">
        <f t="shared" si="22"/>
        <v>0.33377837116154874</v>
      </c>
      <c r="GM37" s="137" t="str">
        <f t="shared" si="22"/>
        <v xml:space="preserve"> </v>
      </c>
      <c r="GN37" s="137">
        <f t="shared" si="22"/>
        <v>0.36188178528347409</v>
      </c>
      <c r="GO37" s="137" t="str">
        <f t="shared" si="22"/>
        <v xml:space="preserve"> </v>
      </c>
      <c r="GP37" s="137" t="str">
        <f t="shared" si="22"/>
        <v xml:space="preserve"> </v>
      </c>
      <c r="GQ37" s="137">
        <f t="shared" si="22"/>
        <v>0.27777777777777779</v>
      </c>
      <c r="GR37" s="137">
        <f t="shared" si="22"/>
        <v>0.24258760107816713</v>
      </c>
      <c r="GS37" s="137">
        <f t="shared" si="22"/>
        <v>0.30842562736576473</v>
      </c>
      <c r="GT37" s="137">
        <f t="shared" ref="GT37:JE37" si="23">IF(SUM(GT11:GT14)=0," ",(GT9+GT10)/(((GT11+GT12)*0.25)+(GT13+GT14)))</f>
        <v>0.26755852842809363</v>
      </c>
      <c r="GU37" s="137" t="str">
        <f t="shared" si="23"/>
        <v xml:space="preserve"> </v>
      </c>
      <c r="GV37" s="137" t="str">
        <f t="shared" si="23"/>
        <v xml:space="preserve"> </v>
      </c>
      <c r="GW37" s="137" t="str">
        <f t="shared" si="23"/>
        <v xml:space="preserve"> </v>
      </c>
      <c r="GX37" s="137">
        <f t="shared" si="23"/>
        <v>0.28493150684931506</v>
      </c>
      <c r="GY37" s="137">
        <f t="shared" si="23"/>
        <v>0.33840947546531303</v>
      </c>
      <c r="GZ37" s="137">
        <f t="shared" si="23"/>
        <v>0.36155468514612837</v>
      </c>
      <c r="HA37" s="137" t="str">
        <f t="shared" si="23"/>
        <v xml:space="preserve"> </v>
      </c>
      <c r="HB37" s="137">
        <f t="shared" si="23"/>
        <v>0.28046289993192647</v>
      </c>
      <c r="HC37" s="137" t="str">
        <f t="shared" si="23"/>
        <v xml:space="preserve"> </v>
      </c>
      <c r="HD37" s="137" t="str">
        <f t="shared" si="23"/>
        <v xml:space="preserve"> </v>
      </c>
      <c r="HE37" s="137">
        <f t="shared" si="23"/>
        <v>0.37735849056603776</v>
      </c>
      <c r="HF37" s="137">
        <f t="shared" si="23"/>
        <v>0.27972027972027974</v>
      </c>
      <c r="HG37" s="137" t="str">
        <f t="shared" si="23"/>
        <v xml:space="preserve"> </v>
      </c>
      <c r="HH37" s="137">
        <f t="shared" si="23"/>
        <v>0.28195488721804512</v>
      </c>
      <c r="HI37" s="137" t="str">
        <f t="shared" si="23"/>
        <v xml:space="preserve"> </v>
      </c>
      <c r="HJ37" s="137" t="str">
        <f t="shared" si="23"/>
        <v xml:space="preserve"> </v>
      </c>
      <c r="HK37" s="137" t="str">
        <f t="shared" si="23"/>
        <v xml:space="preserve"> </v>
      </c>
      <c r="HL37" s="137">
        <f t="shared" si="23"/>
        <v>0.27597402597402598</v>
      </c>
      <c r="HM37" s="137" t="str">
        <f t="shared" si="23"/>
        <v xml:space="preserve"> </v>
      </c>
      <c r="HN37" s="137">
        <f t="shared" si="23"/>
        <v>0.33713974986405654</v>
      </c>
      <c r="HO37" s="137">
        <f t="shared" si="23"/>
        <v>0.38131553860819828</v>
      </c>
      <c r="HP37" s="137">
        <f t="shared" si="23"/>
        <v>0.36945812807881773</v>
      </c>
      <c r="HQ37" s="137" t="str">
        <f t="shared" si="23"/>
        <v xml:space="preserve"> </v>
      </c>
      <c r="HR37" s="137" t="str">
        <f t="shared" si="23"/>
        <v xml:space="preserve"> </v>
      </c>
      <c r="HS37" s="137">
        <f t="shared" si="23"/>
        <v>0.3656307129798903</v>
      </c>
      <c r="HT37" s="137" t="str">
        <f t="shared" si="23"/>
        <v xml:space="preserve"> </v>
      </c>
      <c r="HU37" s="137" t="str">
        <f t="shared" si="23"/>
        <v xml:space="preserve"> </v>
      </c>
      <c r="HV37" s="137">
        <f t="shared" si="23"/>
        <v>0.37854889589905361</v>
      </c>
      <c r="HW37" s="137">
        <f t="shared" si="23"/>
        <v>0.34770514603616132</v>
      </c>
      <c r="HX37" s="137" t="str">
        <f t="shared" si="23"/>
        <v xml:space="preserve"> </v>
      </c>
      <c r="HY37" s="137" t="str">
        <f t="shared" si="23"/>
        <v xml:space="preserve"> </v>
      </c>
      <c r="HZ37" s="137">
        <f t="shared" si="23"/>
        <v>0.25376506024096385</v>
      </c>
      <c r="IA37" s="137">
        <f t="shared" si="23"/>
        <v>0.27665935818218057</v>
      </c>
      <c r="IB37" s="137">
        <f t="shared" si="23"/>
        <v>0.31672271476612657</v>
      </c>
      <c r="IC37" s="137" t="str">
        <f t="shared" si="23"/>
        <v xml:space="preserve"> </v>
      </c>
      <c r="ID37" s="137">
        <f t="shared" si="23"/>
        <v>0.33641618497109826</v>
      </c>
      <c r="IE37" s="137" t="str">
        <f t="shared" si="23"/>
        <v xml:space="preserve"> </v>
      </c>
      <c r="IF37" s="137" t="str">
        <f t="shared" si="23"/>
        <v xml:space="preserve"> </v>
      </c>
      <c r="IG37" s="137" t="str">
        <f t="shared" si="23"/>
        <v xml:space="preserve"> </v>
      </c>
      <c r="IH37" s="137">
        <f t="shared" si="23"/>
        <v>0.24744819053510672</v>
      </c>
      <c r="II37" s="137" t="str">
        <f t="shared" si="23"/>
        <v xml:space="preserve"> </v>
      </c>
      <c r="IJ37" s="137">
        <f t="shared" si="23"/>
        <v>0.23894862604540024</v>
      </c>
      <c r="IK37" s="137">
        <f t="shared" si="23"/>
        <v>0.24539877300613497</v>
      </c>
      <c r="IL37" s="137" t="str">
        <f t="shared" si="23"/>
        <v xml:space="preserve"> </v>
      </c>
      <c r="IM37" s="137" t="str">
        <f t="shared" si="23"/>
        <v xml:space="preserve"> </v>
      </c>
      <c r="IN37" s="137">
        <f t="shared" si="23"/>
        <v>0.34831460674157305</v>
      </c>
      <c r="IO37" s="137">
        <f t="shared" si="23"/>
        <v>0.22487223168654175</v>
      </c>
      <c r="IP37" s="137">
        <f t="shared" si="23"/>
        <v>0.23403714067667261</v>
      </c>
      <c r="IQ37" s="137">
        <f t="shared" si="23"/>
        <v>0.25999252895031749</v>
      </c>
      <c r="IR37" s="137" t="str">
        <f t="shared" si="23"/>
        <v xml:space="preserve"> </v>
      </c>
      <c r="IS37" s="137" t="str">
        <f t="shared" si="23"/>
        <v xml:space="preserve"> </v>
      </c>
      <c r="IT37" s="137" t="str">
        <f t="shared" si="23"/>
        <v xml:space="preserve"> </v>
      </c>
      <c r="IU37" s="137">
        <f t="shared" si="23"/>
        <v>0.34168564920273348</v>
      </c>
      <c r="IV37" s="137">
        <f t="shared" si="23"/>
        <v>0.26132042862080884</v>
      </c>
      <c r="IW37" s="137">
        <f t="shared" si="23"/>
        <v>0.27870002338087446</v>
      </c>
      <c r="IX37" s="137">
        <f t="shared" si="23"/>
        <v>0.28933092224231466</v>
      </c>
      <c r="IY37" s="137" t="str">
        <f t="shared" si="23"/>
        <v xml:space="preserve"> </v>
      </c>
      <c r="IZ37" s="137" t="str">
        <f t="shared" si="23"/>
        <v xml:space="preserve"> </v>
      </c>
      <c r="JA37" s="137" t="str">
        <f t="shared" si="23"/>
        <v xml:space="preserve"> </v>
      </c>
      <c r="JB37" s="137">
        <f t="shared" si="23"/>
        <v>0.2781289506953224</v>
      </c>
      <c r="JC37" s="137">
        <f t="shared" si="23"/>
        <v>0.40010002500625158</v>
      </c>
      <c r="JD37" s="137" t="str">
        <f t="shared" si="23"/>
        <v xml:space="preserve"> </v>
      </c>
      <c r="JE37" s="137" t="str">
        <f t="shared" si="23"/>
        <v xml:space="preserve"> </v>
      </c>
      <c r="JF37" s="137" t="str">
        <f t="shared" ref="JF37:LQ37" si="24">IF(SUM(JF11:JF14)=0," ",(JF9+JF10)/(((JF11+JF12)*0.25)+(JF13+JF14)))</f>
        <v xml:space="preserve"> </v>
      </c>
      <c r="JG37" s="137" t="str">
        <f t="shared" si="24"/>
        <v xml:space="preserve"> </v>
      </c>
      <c r="JH37" s="137" t="str">
        <f t="shared" si="24"/>
        <v xml:space="preserve"> </v>
      </c>
      <c r="JI37" s="137" t="str">
        <f t="shared" si="24"/>
        <v xml:space="preserve"> </v>
      </c>
      <c r="JJ37" s="137">
        <f t="shared" si="24"/>
        <v>0.35629453681710216</v>
      </c>
      <c r="JK37" s="137" t="str">
        <f t="shared" si="24"/>
        <v xml:space="preserve"> </v>
      </c>
      <c r="JL37" s="137">
        <f t="shared" si="24"/>
        <v>0.33168128097598171</v>
      </c>
      <c r="JM37" s="137" t="str">
        <f t="shared" si="24"/>
        <v xml:space="preserve"> </v>
      </c>
      <c r="JN37" s="137" t="str">
        <f t="shared" si="24"/>
        <v xml:space="preserve"> </v>
      </c>
      <c r="JO37" s="137" t="str">
        <f t="shared" si="24"/>
        <v xml:space="preserve"> </v>
      </c>
      <c r="JP37" s="137">
        <f t="shared" si="24"/>
        <v>0.31077348066298344</v>
      </c>
      <c r="JQ37" s="137">
        <f t="shared" si="24"/>
        <v>0.35971223021582732</v>
      </c>
      <c r="JR37" s="137" t="str">
        <f t="shared" si="24"/>
        <v xml:space="preserve"> </v>
      </c>
      <c r="JS37" s="137">
        <f t="shared" si="24"/>
        <v>0.29448301059554255</v>
      </c>
      <c r="JT37" s="137" t="str">
        <f t="shared" si="24"/>
        <v xml:space="preserve"> </v>
      </c>
      <c r="JU37" s="137" t="str">
        <f t="shared" si="24"/>
        <v xml:space="preserve"> </v>
      </c>
      <c r="JV37" s="137" t="str">
        <f t="shared" si="24"/>
        <v xml:space="preserve"> </v>
      </c>
      <c r="JW37" s="137">
        <f t="shared" si="24"/>
        <v>0.27729636048526862</v>
      </c>
      <c r="JX37" s="137">
        <f t="shared" si="24"/>
        <v>0.31621621621621621</v>
      </c>
      <c r="JY37" s="137">
        <f t="shared" si="24"/>
        <v>0.30604437643458299</v>
      </c>
      <c r="JZ37" s="137" t="str">
        <f t="shared" si="24"/>
        <v xml:space="preserve"> </v>
      </c>
      <c r="KA37" s="137">
        <f t="shared" si="24"/>
        <v>0.37523452157598497</v>
      </c>
      <c r="KB37" s="137" t="str">
        <f t="shared" si="24"/>
        <v xml:space="preserve"> </v>
      </c>
      <c r="KC37" s="137" t="str">
        <f t="shared" si="24"/>
        <v xml:space="preserve"> </v>
      </c>
      <c r="KD37" s="137" t="str">
        <f t="shared" si="24"/>
        <v xml:space="preserve"> </v>
      </c>
      <c r="KE37" s="137">
        <f t="shared" si="24"/>
        <v>0.25728987993138935</v>
      </c>
      <c r="KF37" s="137">
        <f t="shared" si="24"/>
        <v>0.23612750885478159</v>
      </c>
      <c r="KG37" s="137">
        <f t="shared" si="24"/>
        <v>0.28486646884272998</v>
      </c>
      <c r="KH37" s="137">
        <f t="shared" si="24"/>
        <v>0.30710172744721687</v>
      </c>
      <c r="KI37" s="137" t="str">
        <f t="shared" si="24"/>
        <v xml:space="preserve"> </v>
      </c>
      <c r="KJ37" s="137" t="str">
        <f t="shared" si="24"/>
        <v xml:space="preserve"> </v>
      </c>
      <c r="KK37" s="137" t="str">
        <f t="shared" si="24"/>
        <v xml:space="preserve"> </v>
      </c>
      <c r="KL37" s="137">
        <f t="shared" si="24"/>
        <v>0.28436018957345971</v>
      </c>
      <c r="KM37" s="137">
        <f t="shared" si="24"/>
        <v>0.35989717223650386</v>
      </c>
      <c r="KN37" s="137" t="str">
        <f t="shared" si="24"/>
        <v xml:space="preserve"> </v>
      </c>
      <c r="KO37" s="137">
        <f t="shared" si="24"/>
        <v>0.27613412228796846</v>
      </c>
      <c r="KP37" s="137" t="str">
        <f t="shared" si="24"/>
        <v xml:space="preserve"> </v>
      </c>
      <c r="KQ37" s="137" t="str">
        <f t="shared" si="24"/>
        <v xml:space="preserve"> </v>
      </c>
      <c r="KR37" s="137" t="str">
        <f t="shared" si="24"/>
        <v xml:space="preserve"> </v>
      </c>
      <c r="KS37" s="137">
        <f t="shared" si="24"/>
        <v>0.28220255653883974</v>
      </c>
      <c r="KT37" s="137" t="str">
        <f t="shared" si="24"/>
        <v xml:space="preserve"> </v>
      </c>
      <c r="KU37" s="137">
        <f t="shared" si="24"/>
        <v>0.19774660841572775</v>
      </c>
      <c r="KV37" s="137">
        <f t="shared" si="24"/>
        <v>0.31936127744510978</v>
      </c>
      <c r="KW37" s="137" t="str">
        <f t="shared" si="24"/>
        <v xml:space="preserve"> </v>
      </c>
      <c r="KX37" s="137" t="str">
        <f t="shared" si="24"/>
        <v xml:space="preserve"> </v>
      </c>
      <c r="KY37" s="137" t="str">
        <f t="shared" si="24"/>
        <v xml:space="preserve"> </v>
      </c>
      <c r="KZ37" s="137">
        <f t="shared" si="24"/>
        <v>0.35517158627309814</v>
      </c>
      <c r="LA37" s="137" t="str">
        <f t="shared" si="24"/>
        <v xml:space="preserve"> </v>
      </c>
      <c r="LB37" s="137" t="str">
        <f t="shared" si="24"/>
        <v xml:space="preserve"> </v>
      </c>
      <c r="LC37" s="137" t="str">
        <f t="shared" si="24"/>
        <v xml:space="preserve"> </v>
      </c>
      <c r="LD37" s="137" t="str">
        <f t="shared" si="24"/>
        <v xml:space="preserve"> </v>
      </c>
      <c r="LE37" s="137" t="str">
        <f t="shared" si="24"/>
        <v xml:space="preserve"> </v>
      </c>
      <c r="LF37" s="137">
        <f t="shared" si="24"/>
        <v>0.29390154298310067</v>
      </c>
      <c r="LG37" s="137" t="str">
        <f t="shared" si="24"/>
        <v xml:space="preserve"> </v>
      </c>
      <c r="LH37" s="137">
        <f t="shared" si="24"/>
        <v>0.19393939393939394</v>
      </c>
      <c r="LI37" s="137" t="str">
        <f t="shared" si="24"/>
        <v xml:space="preserve"> </v>
      </c>
      <c r="LJ37" s="137">
        <f t="shared" si="24"/>
        <v>0.2821869488536155</v>
      </c>
      <c r="LK37" s="137" t="str">
        <f t="shared" si="24"/>
        <v xml:space="preserve"> </v>
      </c>
      <c r="LL37" s="137" t="str">
        <f t="shared" si="24"/>
        <v xml:space="preserve"> </v>
      </c>
      <c r="LM37" s="137">
        <f t="shared" si="24"/>
        <v>0.33661315380631796</v>
      </c>
      <c r="LN37" s="137">
        <f t="shared" si="24"/>
        <v>0.34591194968553457</v>
      </c>
      <c r="LO37" s="137">
        <f t="shared" si="24"/>
        <v>0.28599999999999998</v>
      </c>
      <c r="LP37" s="137">
        <f t="shared" si="24"/>
        <v>0.26221692491060788</v>
      </c>
      <c r="LQ37" s="137" t="str">
        <f t="shared" si="24"/>
        <v xml:space="preserve"> </v>
      </c>
      <c r="LR37" s="137" t="str">
        <f t="shared" ref="LR37:NF37" si="25">IF(SUM(LR11:LR14)=0," ",(LR9+LR10)/(((LR11+LR12)*0.25)+(LR13+LR14)))</f>
        <v xml:space="preserve"> </v>
      </c>
      <c r="LS37" s="137" t="str">
        <f t="shared" si="25"/>
        <v xml:space="preserve"> </v>
      </c>
      <c r="LT37" s="137" t="str">
        <f t="shared" si="25"/>
        <v xml:space="preserve"> </v>
      </c>
      <c r="LU37" s="137">
        <f t="shared" si="25"/>
        <v>0.30608365019011408</v>
      </c>
      <c r="LV37" s="137" t="str">
        <f t="shared" si="25"/>
        <v xml:space="preserve"> </v>
      </c>
      <c r="LW37" s="137">
        <f t="shared" si="25"/>
        <v>0.29077691958200819</v>
      </c>
      <c r="LX37" s="137">
        <f t="shared" si="25"/>
        <v>0.31835205992509363</v>
      </c>
      <c r="LY37" s="137" t="str">
        <f t="shared" si="25"/>
        <v xml:space="preserve"> </v>
      </c>
      <c r="LZ37" s="137" t="str">
        <f t="shared" si="25"/>
        <v xml:space="preserve"> </v>
      </c>
      <c r="MA37" s="137">
        <f t="shared" si="25"/>
        <v>0.28374892519346517</v>
      </c>
      <c r="MB37" s="137" t="str">
        <f t="shared" si="25"/>
        <v xml:space="preserve"> </v>
      </c>
      <c r="MC37" s="137">
        <f t="shared" si="25"/>
        <v>0.26426799007444168</v>
      </c>
      <c r="MD37" s="137" t="str">
        <f t="shared" si="25"/>
        <v xml:space="preserve"> </v>
      </c>
      <c r="ME37" s="137" t="str">
        <f t="shared" si="25"/>
        <v xml:space="preserve"> </v>
      </c>
      <c r="MF37" s="137" t="str">
        <f t="shared" si="25"/>
        <v xml:space="preserve"> </v>
      </c>
      <c r="MG37" s="137" t="str">
        <f t="shared" si="25"/>
        <v xml:space="preserve"> </v>
      </c>
      <c r="MH37" s="137">
        <f t="shared" si="25"/>
        <v>0.31982543640897754</v>
      </c>
      <c r="MI37" s="137">
        <f t="shared" si="25"/>
        <v>0.31990521327014215</v>
      </c>
      <c r="MJ37" s="137" t="str">
        <f t="shared" si="25"/>
        <v xml:space="preserve"> </v>
      </c>
      <c r="MK37" s="137" t="str">
        <f t="shared" si="25"/>
        <v xml:space="preserve"> </v>
      </c>
      <c r="ML37" s="137">
        <f t="shared" si="25"/>
        <v>0.31024531024531027</v>
      </c>
      <c r="MM37" s="137" t="str">
        <f t="shared" si="25"/>
        <v xml:space="preserve"> </v>
      </c>
      <c r="MN37" s="137" t="str">
        <f t="shared" si="25"/>
        <v xml:space="preserve"> </v>
      </c>
      <c r="MO37" s="137">
        <f t="shared" si="25"/>
        <v>0.27879874495741819</v>
      </c>
      <c r="MP37" s="137">
        <f t="shared" si="25"/>
        <v>0.32806804374240583</v>
      </c>
      <c r="MQ37" s="137">
        <f t="shared" si="25"/>
        <v>0.29318541996830427</v>
      </c>
      <c r="MR37" s="137" t="str">
        <f t="shared" si="25"/>
        <v xml:space="preserve"> </v>
      </c>
      <c r="MS37" s="137">
        <f t="shared" si="25"/>
        <v>0.280437756497948</v>
      </c>
      <c r="MT37" s="137" t="str">
        <f t="shared" si="25"/>
        <v xml:space="preserve"> </v>
      </c>
      <c r="MU37" s="137" t="str">
        <f t="shared" si="25"/>
        <v xml:space="preserve"> </v>
      </c>
      <c r="MV37" s="137">
        <f t="shared" si="25"/>
        <v>0.27072758037225042</v>
      </c>
      <c r="MW37" s="137">
        <f t="shared" si="25"/>
        <v>0.29250457038391225</v>
      </c>
      <c r="MX37" s="137">
        <f t="shared" si="25"/>
        <v>0.29234737747205503</v>
      </c>
      <c r="MY37" s="137">
        <f t="shared" si="25"/>
        <v>0.39306358381502893</v>
      </c>
      <c r="MZ37" s="137" t="str">
        <f t="shared" si="25"/>
        <v xml:space="preserve"> </v>
      </c>
      <c r="NA37" s="137" t="str">
        <f t="shared" si="25"/>
        <v xml:space="preserve"> </v>
      </c>
      <c r="NB37" s="137" t="str">
        <f t="shared" si="25"/>
        <v xml:space="preserve"> </v>
      </c>
      <c r="NC37" s="137">
        <f t="shared" si="25"/>
        <v>0.25645860833490475</v>
      </c>
      <c r="ND37" s="137">
        <f t="shared" si="25"/>
        <v>0.45595854922279794</v>
      </c>
      <c r="NE37" s="137">
        <f t="shared" si="25"/>
        <v>0.31714568880079286</v>
      </c>
      <c r="NF37" s="137">
        <f t="shared" si="25"/>
        <v>0.40552995391705071</v>
      </c>
      <c r="NG37" s="137" t="str">
        <f t="shared" ref="NG37:NI37" si="26">IF(SUM(NG11:NG14)=0," ",(NG9+NG10)/(((NG11+NG12)*0.25)+(NG13+NG14)))</f>
        <v xml:space="preserve"> </v>
      </c>
      <c r="NH37" s="137" t="str">
        <f t="shared" si="26"/>
        <v xml:space="preserve"> </v>
      </c>
      <c r="NI37" s="137" t="str">
        <f t="shared" si="26"/>
        <v xml:space="preserve"> </v>
      </c>
    </row>
    <row r="38" spans="1:373" x14ac:dyDescent="0.2">
      <c r="A38" s="17" t="s">
        <v>26</v>
      </c>
      <c r="B38" s="137" t="str">
        <f t="shared" ref="B38:I38" si="27">IF(SUM(B15:B16)=0," ",(B15+B16)/(B17+(B18*0.46)+(B19*0.15)+(B20*0.46)))</f>
        <v xml:space="preserve"> </v>
      </c>
      <c r="C38" s="137" t="str">
        <f t="shared" si="27"/>
        <v xml:space="preserve"> </v>
      </c>
      <c r="D38" s="137" t="str">
        <f t="shared" si="27"/>
        <v xml:space="preserve"> </v>
      </c>
      <c r="E38" s="137" t="str">
        <f t="shared" si="27"/>
        <v xml:space="preserve"> </v>
      </c>
      <c r="F38" s="137" t="str">
        <f t="shared" si="27"/>
        <v xml:space="preserve"> </v>
      </c>
      <c r="G38" s="137" t="str">
        <f t="shared" si="27"/>
        <v xml:space="preserve"> </v>
      </c>
      <c r="H38" s="137" t="str">
        <f t="shared" si="27"/>
        <v xml:space="preserve"> </v>
      </c>
      <c r="I38" s="137" t="str">
        <f t="shared" si="27"/>
        <v xml:space="preserve"> </v>
      </c>
      <c r="J38" s="137" t="str">
        <f t="shared" ref="J38:BU38" si="28">IF(SUM(J15:J16)=0," ",(J15+J16)/(J17+(J18*0.46)+(J19*0.15)+(J20*0.46)))</f>
        <v xml:space="preserve"> </v>
      </c>
      <c r="K38" s="137">
        <f t="shared" si="28"/>
        <v>0.54425665998281303</v>
      </c>
      <c r="L38" s="137">
        <f t="shared" si="28"/>
        <v>0.40753948038716248</v>
      </c>
      <c r="M38" s="137">
        <f t="shared" si="28"/>
        <v>0.54590400329602418</v>
      </c>
      <c r="N38" s="137">
        <f t="shared" si="28"/>
        <v>0.50089100804315367</v>
      </c>
      <c r="O38" s="137" t="str">
        <f t="shared" si="28"/>
        <v xml:space="preserve"> </v>
      </c>
      <c r="P38" s="137" t="str">
        <f t="shared" si="28"/>
        <v xml:space="preserve"> </v>
      </c>
      <c r="Q38" s="137" t="str">
        <f t="shared" si="28"/>
        <v xml:space="preserve"> </v>
      </c>
      <c r="R38" s="137">
        <f t="shared" si="28"/>
        <v>0.56360708534621584</v>
      </c>
      <c r="S38" s="137">
        <f t="shared" si="28"/>
        <v>0.54700649194517903</v>
      </c>
      <c r="T38" s="137" t="str">
        <f t="shared" si="28"/>
        <v xml:space="preserve"> </v>
      </c>
      <c r="U38" s="137">
        <f t="shared" si="28"/>
        <v>0.52541404911479161</v>
      </c>
      <c r="V38" s="137" t="str">
        <f t="shared" si="28"/>
        <v xml:space="preserve"> </v>
      </c>
      <c r="W38" s="137" t="str">
        <f t="shared" si="28"/>
        <v xml:space="preserve"> </v>
      </c>
      <c r="X38" s="137">
        <f t="shared" si="28"/>
        <v>0.54347826086956519</v>
      </c>
      <c r="Y38" s="137">
        <f t="shared" si="28"/>
        <v>0.53082629828600658</v>
      </c>
      <c r="Z38" s="137">
        <f t="shared" si="28"/>
        <v>0.51583710407239824</v>
      </c>
      <c r="AA38" s="137" t="str">
        <f t="shared" si="28"/>
        <v xml:space="preserve"> </v>
      </c>
      <c r="AB38" s="137">
        <f t="shared" si="28"/>
        <v>0.23799221116399827</v>
      </c>
      <c r="AC38" s="137" t="str">
        <f t="shared" si="28"/>
        <v xml:space="preserve"> </v>
      </c>
      <c r="AD38" s="137" t="str">
        <f t="shared" si="28"/>
        <v xml:space="preserve"> </v>
      </c>
      <c r="AE38" s="137" t="str">
        <f t="shared" si="28"/>
        <v xml:space="preserve"> </v>
      </c>
      <c r="AF38" s="137">
        <f t="shared" si="28"/>
        <v>0.55228610230873698</v>
      </c>
      <c r="AG38" s="137">
        <f t="shared" si="28"/>
        <v>0.50556117290192115</v>
      </c>
      <c r="AH38" s="137">
        <f t="shared" si="28"/>
        <v>0.52826956025128502</v>
      </c>
      <c r="AI38" s="137" t="str">
        <f t="shared" si="28"/>
        <v xml:space="preserve"> </v>
      </c>
      <c r="AJ38" s="137" t="str">
        <f t="shared" si="28"/>
        <v xml:space="preserve"> </v>
      </c>
      <c r="AK38" s="137" t="str">
        <f t="shared" si="28"/>
        <v xml:space="preserve"> </v>
      </c>
      <c r="AL38" s="137" t="str">
        <f t="shared" si="28"/>
        <v xml:space="preserve"> </v>
      </c>
      <c r="AM38" s="137">
        <f t="shared" si="28"/>
        <v>0.52133781550908787</v>
      </c>
      <c r="AN38" s="137">
        <f t="shared" si="28"/>
        <v>0.54935767410412439</v>
      </c>
      <c r="AO38" s="137" t="str">
        <f t="shared" si="28"/>
        <v xml:space="preserve"> </v>
      </c>
      <c r="AP38" s="137">
        <f t="shared" si="28"/>
        <v>0.54166666666666663</v>
      </c>
      <c r="AQ38" s="137" t="str">
        <f t="shared" si="28"/>
        <v xml:space="preserve"> </v>
      </c>
      <c r="AR38" s="137" t="str">
        <f t="shared" si="28"/>
        <v xml:space="preserve"> </v>
      </c>
      <c r="AS38" s="137" t="str">
        <f t="shared" si="28"/>
        <v xml:space="preserve"> </v>
      </c>
      <c r="AT38" s="137">
        <f t="shared" si="28"/>
        <v>0.53281461434370769</v>
      </c>
      <c r="AU38" s="137">
        <f t="shared" si="28"/>
        <v>0.59286898839137647</v>
      </c>
      <c r="AV38" s="137">
        <f t="shared" si="28"/>
        <v>0.52979196835375975</v>
      </c>
      <c r="AW38" s="137">
        <f t="shared" si="28"/>
        <v>0.53913043478260869</v>
      </c>
      <c r="AX38" s="137" t="str">
        <f t="shared" si="28"/>
        <v xml:space="preserve"> </v>
      </c>
      <c r="AY38" s="137" t="str">
        <f t="shared" si="28"/>
        <v xml:space="preserve"> </v>
      </c>
      <c r="AZ38" s="137">
        <f t="shared" si="28"/>
        <v>0.64981096408317585</v>
      </c>
      <c r="BA38" s="137">
        <f t="shared" si="28"/>
        <v>0.52093023255813953</v>
      </c>
      <c r="BB38" s="137">
        <f t="shared" si="28"/>
        <v>0.46837069827216909</v>
      </c>
      <c r="BC38" s="137">
        <f t="shared" si="28"/>
        <v>0.65469195903978517</v>
      </c>
      <c r="BD38" s="137" t="str">
        <f t="shared" si="28"/>
        <v xml:space="preserve"> </v>
      </c>
      <c r="BE38" s="137" t="str">
        <f t="shared" si="28"/>
        <v xml:space="preserve"> </v>
      </c>
      <c r="BF38" s="137" t="str">
        <f t="shared" si="28"/>
        <v xml:space="preserve"> </v>
      </c>
      <c r="BG38" s="137" t="str">
        <f t="shared" si="28"/>
        <v xml:space="preserve"> </v>
      </c>
      <c r="BH38" s="137">
        <f t="shared" si="28"/>
        <v>0.69042731852957639</v>
      </c>
      <c r="BI38" s="137">
        <f t="shared" si="28"/>
        <v>0.5267857142857143</v>
      </c>
      <c r="BJ38" s="137">
        <f t="shared" si="28"/>
        <v>0.33187454412837342</v>
      </c>
      <c r="BK38" s="137">
        <f t="shared" si="28"/>
        <v>0.39428289797930016</v>
      </c>
      <c r="BL38" s="137" t="str">
        <f t="shared" si="28"/>
        <v xml:space="preserve"> </v>
      </c>
      <c r="BM38" s="137" t="str">
        <f t="shared" si="28"/>
        <v xml:space="preserve"> </v>
      </c>
      <c r="BN38" s="137" t="str">
        <f t="shared" si="28"/>
        <v xml:space="preserve"> </v>
      </c>
      <c r="BO38" s="137">
        <f t="shared" si="28"/>
        <v>0.53465233302836235</v>
      </c>
      <c r="BP38" s="137">
        <f t="shared" si="28"/>
        <v>0.49455344732844164</v>
      </c>
      <c r="BQ38" s="137">
        <f t="shared" si="28"/>
        <v>0.7015416594491598</v>
      </c>
      <c r="BR38" s="137">
        <f t="shared" si="28"/>
        <v>0.51601423487544484</v>
      </c>
      <c r="BS38" s="137" t="str">
        <f t="shared" si="28"/>
        <v xml:space="preserve"> </v>
      </c>
      <c r="BT38" s="137" t="str">
        <f t="shared" si="28"/>
        <v xml:space="preserve"> </v>
      </c>
      <c r="BU38" s="137">
        <f t="shared" si="28"/>
        <v>0.59314456035767515</v>
      </c>
      <c r="BV38" s="137">
        <f t="shared" ref="BV38:EG38" si="29">IF(SUM(BV15:BV16)=0," ",(BV15+BV16)/(BV17+(BV18*0.46)+(BV19*0.15)+(BV20*0.46)))</f>
        <v>0.52604166666666663</v>
      </c>
      <c r="BW38" s="137">
        <f t="shared" si="29"/>
        <v>0.53617757278754685</v>
      </c>
      <c r="BX38" s="137" t="str">
        <f t="shared" si="29"/>
        <v xml:space="preserve"> </v>
      </c>
      <c r="BY38" s="137">
        <f t="shared" si="29"/>
        <v>0.51864406779661021</v>
      </c>
      <c r="BZ38" s="137" t="str">
        <f t="shared" si="29"/>
        <v xml:space="preserve"> </v>
      </c>
      <c r="CA38" s="137" t="str">
        <f t="shared" si="29"/>
        <v xml:space="preserve"> </v>
      </c>
      <c r="CB38" s="137" t="str">
        <f t="shared" si="29"/>
        <v xml:space="preserve"> </v>
      </c>
      <c r="CC38" s="137">
        <f t="shared" si="29"/>
        <v>0.54882394868139694</v>
      </c>
      <c r="CD38" s="137">
        <f t="shared" si="29"/>
        <v>0.53961942629934678</v>
      </c>
      <c r="CE38" s="137" t="str">
        <f t="shared" si="29"/>
        <v xml:space="preserve"> </v>
      </c>
      <c r="CF38" s="137">
        <f t="shared" si="29"/>
        <v>0.81417624521072784</v>
      </c>
      <c r="CG38" s="137" t="str">
        <f t="shared" si="29"/>
        <v xml:space="preserve"> </v>
      </c>
      <c r="CH38" s="137" t="str">
        <f t="shared" si="29"/>
        <v xml:space="preserve"> </v>
      </c>
      <c r="CI38" s="137" t="str">
        <f t="shared" si="29"/>
        <v xml:space="preserve"> </v>
      </c>
      <c r="CJ38" s="137">
        <f t="shared" si="29"/>
        <v>0.55549944450055544</v>
      </c>
      <c r="CK38" s="137">
        <f t="shared" si="29"/>
        <v>0.51855019779749811</v>
      </c>
      <c r="CL38" s="137">
        <f t="shared" si="29"/>
        <v>0.56237218813905931</v>
      </c>
      <c r="CM38" s="137" t="str">
        <f t="shared" si="29"/>
        <v xml:space="preserve"> </v>
      </c>
      <c r="CN38" s="137" t="str">
        <f t="shared" si="29"/>
        <v xml:space="preserve"> </v>
      </c>
      <c r="CO38" s="137" t="str">
        <f t="shared" si="29"/>
        <v xml:space="preserve"> </v>
      </c>
      <c r="CP38" s="137">
        <f t="shared" si="29"/>
        <v>0.98716683119447191</v>
      </c>
      <c r="CQ38" s="137">
        <f t="shared" si="29"/>
        <v>0.54287396167179014</v>
      </c>
      <c r="CR38" s="137">
        <f t="shared" si="29"/>
        <v>0.52489714853170666</v>
      </c>
      <c r="CS38" s="137">
        <f t="shared" si="29"/>
        <v>0.54938271604938271</v>
      </c>
      <c r="CT38" s="137" t="str">
        <f t="shared" si="29"/>
        <v xml:space="preserve"> </v>
      </c>
      <c r="CU38" s="137" t="str">
        <f t="shared" si="29"/>
        <v xml:space="preserve"> </v>
      </c>
      <c r="CV38" s="137" t="str">
        <f t="shared" si="29"/>
        <v xml:space="preserve"> </v>
      </c>
      <c r="CW38" s="137" t="str">
        <f t="shared" si="29"/>
        <v xml:space="preserve"> </v>
      </c>
      <c r="CX38" s="137">
        <f t="shared" si="29"/>
        <v>0.5786516853932584</v>
      </c>
      <c r="CY38" s="137">
        <f t="shared" si="29"/>
        <v>0.53612167300380231</v>
      </c>
      <c r="CZ38" s="137">
        <f t="shared" si="29"/>
        <v>0.52930056710775042</v>
      </c>
      <c r="DA38" s="137">
        <f t="shared" si="29"/>
        <v>0.53287197231833905</v>
      </c>
      <c r="DB38" s="137" t="str">
        <f t="shared" si="29"/>
        <v xml:space="preserve"> </v>
      </c>
      <c r="DC38" s="137" t="str">
        <f t="shared" si="29"/>
        <v xml:space="preserve"> </v>
      </c>
      <c r="DD38" s="137" t="str">
        <f t="shared" si="29"/>
        <v xml:space="preserve"> </v>
      </c>
      <c r="DE38" s="137">
        <f t="shared" si="29"/>
        <v>0.56767030109032712</v>
      </c>
      <c r="DF38" s="137">
        <f t="shared" si="29"/>
        <v>0.56213017751479288</v>
      </c>
      <c r="DG38" s="137">
        <f t="shared" si="29"/>
        <v>0.56598434109989626</v>
      </c>
      <c r="DH38" s="137" t="str">
        <f t="shared" si="29"/>
        <v xml:space="preserve"> </v>
      </c>
      <c r="DI38" s="137" t="str">
        <f t="shared" si="29"/>
        <v xml:space="preserve"> </v>
      </c>
      <c r="DJ38" s="137" t="str">
        <f t="shared" si="29"/>
        <v xml:space="preserve"> </v>
      </c>
      <c r="DK38" s="137" t="str">
        <f t="shared" si="29"/>
        <v xml:space="preserve"> </v>
      </c>
      <c r="DL38" s="137">
        <f t="shared" si="29"/>
        <v>0.55339641770868542</v>
      </c>
      <c r="DM38" s="137">
        <f t="shared" si="29"/>
        <v>0.58850158442734268</v>
      </c>
      <c r="DN38" s="137" t="str">
        <f t="shared" si="29"/>
        <v xml:space="preserve"> </v>
      </c>
      <c r="DO38" s="137">
        <f t="shared" si="29"/>
        <v>0.1977066034005536</v>
      </c>
      <c r="DP38" s="137" t="str">
        <f t="shared" si="29"/>
        <v xml:space="preserve"> </v>
      </c>
      <c r="DQ38" s="137" t="str">
        <f t="shared" si="29"/>
        <v xml:space="preserve"> </v>
      </c>
      <c r="DR38" s="137" t="str">
        <f t="shared" si="29"/>
        <v xml:space="preserve"> </v>
      </c>
      <c r="DS38" s="137" t="str">
        <f t="shared" si="29"/>
        <v xml:space="preserve"> </v>
      </c>
      <c r="DT38" s="137">
        <f t="shared" si="29"/>
        <v>0.63958597793184258</v>
      </c>
      <c r="DU38" s="137">
        <f t="shared" si="29"/>
        <v>0.569620253164557</v>
      </c>
      <c r="DV38" s="137">
        <f t="shared" si="29"/>
        <v>0.56025369978858353</v>
      </c>
      <c r="DW38" s="137" t="str">
        <f t="shared" si="29"/>
        <v xml:space="preserve"> </v>
      </c>
      <c r="DX38" s="137" t="str">
        <f t="shared" si="29"/>
        <v xml:space="preserve"> </v>
      </c>
      <c r="DY38" s="137" t="str">
        <f t="shared" si="29"/>
        <v xml:space="preserve"> </v>
      </c>
      <c r="DZ38" s="137">
        <f t="shared" si="29"/>
        <v>0.58461538461538465</v>
      </c>
      <c r="EA38" s="137">
        <f t="shared" si="29"/>
        <v>0.64662140316844485</v>
      </c>
      <c r="EB38" s="137">
        <f t="shared" si="29"/>
        <v>0.59410142159983026</v>
      </c>
      <c r="EC38" s="137" t="str">
        <f t="shared" si="29"/>
        <v xml:space="preserve"> </v>
      </c>
      <c r="ED38" s="137" t="str">
        <f t="shared" si="29"/>
        <v xml:space="preserve"> </v>
      </c>
      <c r="EE38" s="137" t="str">
        <f t="shared" si="29"/>
        <v xml:space="preserve"> </v>
      </c>
      <c r="EF38" s="137" t="str">
        <f t="shared" si="29"/>
        <v xml:space="preserve"> </v>
      </c>
      <c r="EG38" s="137">
        <f t="shared" si="29"/>
        <v>0.54661589485321216</v>
      </c>
      <c r="EH38" s="137">
        <f t="shared" ref="EH38:GS38" si="30">IF(SUM(EH15:EH16)=0," ",(EH15+EH16)/(EH17+(EH18*0.46)+(EH19*0.15)+(EH20*0.46)))</f>
        <v>0.54895809993278066</v>
      </c>
      <c r="EI38" s="137" t="str">
        <f t="shared" si="30"/>
        <v xml:space="preserve"> </v>
      </c>
      <c r="EJ38" s="137">
        <f t="shared" si="30"/>
        <v>0.57892048356887449</v>
      </c>
      <c r="EK38" s="137" t="str">
        <f t="shared" si="30"/>
        <v xml:space="preserve"> </v>
      </c>
      <c r="EL38" s="137" t="str">
        <f t="shared" si="30"/>
        <v xml:space="preserve"> </v>
      </c>
      <c r="EM38" s="137" t="str">
        <f t="shared" si="30"/>
        <v xml:space="preserve"> </v>
      </c>
      <c r="EN38" s="137">
        <f t="shared" si="30"/>
        <v>0.51637279596977326</v>
      </c>
      <c r="EO38" s="137" t="str">
        <f t="shared" si="30"/>
        <v xml:space="preserve"> </v>
      </c>
      <c r="EP38" s="137">
        <f t="shared" si="30"/>
        <v>0.56218767351471399</v>
      </c>
      <c r="EQ38" s="137" t="str">
        <f t="shared" si="30"/>
        <v xml:space="preserve"> </v>
      </c>
      <c r="ER38" s="137" t="str">
        <f t="shared" si="30"/>
        <v xml:space="preserve"> </v>
      </c>
      <c r="ES38" s="137" t="str">
        <f t="shared" si="30"/>
        <v xml:space="preserve"> </v>
      </c>
      <c r="ET38" s="137" t="str">
        <f t="shared" si="30"/>
        <v xml:space="preserve"> </v>
      </c>
      <c r="EU38" s="137">
        <f t="shared" si="30"/>
        <v>0.62090572486471085</v>
      </c>
      <c r="EV38" s="137" t="str">
        <f t="shared" si="30"/>
        <v xml:space="preserve"> </v>
      </c>
      <c r="EW38" s="137" t="str">
        <f t="shared" si="30"/>
        <v xml:space="preserve"> </v>
      </c>
      <c r="EX38" s="137">
        <f t="shared" si="30"/>
        <v>0.65214275476565864</v>
      </c>
      <c r="EY38" s="137" t="str">
        <f t="shared" si="30"/>
        <v xml:space="preserve"> </v>
      </c>
      <c r="EZ38" s="137" t="str">
        <f t="shared" si="30"/>
        <v xml:space="preserve"> </v>
      </c>
      <c r="FA38" s="137" t="str">
        <f t="shared" si="30"/>
        <v xml:space="preserve"> </v>
      </c>
      <c r="FB38" s="137">
        <f t="shared" si="30"/>
        <v>0.60260324602281856</v>
      </c>
      <c r="FC38" s="137">
        <f t="shared" si="30"/>
        <v>0.5319714863283328</v>
      </c>
      <c r="FD38" s="137">
        <f t="shared" si="30"/>
        <v>0.54456025295702071</v>
      </c>
      <c r="FE38" s="137">
        <f t="shared" si="30"/>
        <v>0.57769700116837597</v>
      </c>
      <c r="FF38" s="137" t="str">
        <f t="shared" si="30"/>
        <v xml:space="preserve"> </v>
      </c>
      <c r="FG38" s="137" t="str">
        <f t="shared" si="30"/>
        <v xml:space="preserve"> </v>
      </c>
      <c r="FH38" s="137" t="str">
        <f t="shared" si="30"/>
        <v xml:space="preserve"> </v>
      </c>
      <c r="FI38" s="137">
        <f t="shared" si="30"/>
        <v>0.56195430057588702</v>
      </c>
      <c r="FJ38" s="137">
        <f t="shared" si="30"/>
        <v>0.54234062797335869</v>
      </c>
      <c r="FK38" s="137" t="str">
        <f t="shared" si="30"/>
        <v xml:space="preserve"> </v>
      </c>
      <c r="FL38" s="137">
        <f t="shared" si="30"/>
        <v>0.50484854543636903</v>
      </c>
      <c r="FM38" s="137" t="str">
        <f t="shared" si="30"/>
        <v xml:space="preserve"> </v>
      </c>
      <c r="FN38" s="137" t="str">
        <f t="shared" si="30"/>
        <v xml:space="preserve"> </v>
      </c>
      <c r="FO38" s="137">
        <f t="shared" si="30"/>
        <v>0.54756144148732966</v>
      </c>
      <c r="FP38" s="137">
        <f t="shared" si="30"/>
        <v>0.57721139430284851</v>
      </c>
      <c r="FQ38" s="137">
        <f t="shared" si="30"/>
        <v>0.65573770491803274</v>
      </c>
      <c r="FR38" s="137">
        <f t="shared" si="30"/>
        <v>0.55567903978661926</v>
      </c>
      <c r="FS38" s="137">
        <f t="shared" si="30"/>
        <v>0.60931379660525165</v>
      </c>
      <c r="FT38" s="137" t="str">
        <f t="shared" si="30"/>
        <v xml:space="preserve"> </v>
      </c>
      <c r="FU38" s="137" t="str">
        <f t="shared" si="30"/>
        <v xml:space="preserve"> </v>
      </c>
      <c r="FV38" s="137" t="str">
        <f t="shared" si="30"/>
        <v xml:space="preserve"> </v>
      </c>
      <c r="FW38" s="137" t="str">
        <f t="shared" si="30"/>
        <v xml:space="preserve"> </v>
      </c>
      <c r="FX38" s="137">
        <f t="shared" si="30"/>
        <v>0.63740666545255875</v>
      </c>
      <c r="FY38" s="137">
        <f t="shared" si="30"/>
        <v>0.5725931677018633</v>
      </c>
      <c r="FZ38" s="137">
        <f t="shared" si="30"/>
        <v>0.47976917399181374</v>
      </c>
      <c r="GA38" s="137" t="str">
        <f t="shared" si="30"/>
        <v xml:space="preserve"> </v>
      </c>
      <c r="GB38" s="137" t="str">
        <f t="shared" si="30"/>
        <v xml:space="preserve"> </v>
      </c>
      <c r="GC38" s="137" t="str">
        <f t="shared" si="30"/>
        <v xml:space="preserve"> </v>
      </c>
      <c r="GD38" s="137" t="str">
        <f t="shared" si="30"/>
        <v xml:space="preserve"> </v>
      </c>
      <c r="GE38" s="137">
        <f t="shared" si="30"/>
        <v>0.5449438202247191</v>
      </c>
      <c r="GF38" s="137">
        <f t="shared" si="30"/>
        <v>0.53307392996108949</v>
      </c>
      <c r="GG38" s="137">
        <f t="shared" si="30"/>
        <v>0.56580897211370063</v>
      </c>
      <c r="GH38" s="137" t="str">
        <f t="shared" si="30"/>
        <v xml:space="preserve"> </v>
      </c>
      <c r="GI38" s="137" t="str">
        <f t="shared" si="30"/>
        <v xml:space="preserve"> </v>
      </c>
      <c r="GJ38" s="137">
        <f t="shared" si="30"/>
        <v>0.53849389987379048</v>
      </c>
      <c r="GK38" s="137">
        <f t="shared" si="30"/>
        <v>0.55647534952170719</v>
      </c>
      <c r="GL38" s="137" t="str">
        <f t="shared" si="30"/>
        <v xml:space="preserve"> </v>
      </c>
      <c r="GM38" s="137">
        <f t="shared" si="30"/>
        <v>0.58040078201368517</v>
      </c>
      <c r="GN38" s="137">
        <f t="shared" si="30"/>
        <v>0.63775510204081631</v>
      </c>
      <c r="GO38" s="137" t="str">
        <f t="shared" si="30"/>
        <v xml:space="preserve"> </v>
      </c>
      <c r="GP38" s="137" t="str">
        <f t="shared" si="30"/>
        <v xml:space="preserve"> </v>
      </c>
      <c r="GQ38" s="137">
        <f t="shared" si="30"/>
        <v>0.5961251862891207</v>
      </c>
      <c r="GR38" s="137">
        <f t="shared" si="30"/>
        <v>0.55789473684210522</v>
      </c>
      <c r="GS38" s="137" t="str">
        <f t="shared" si="30"/>
        <v xml:space="preserve"> </v>
      </c>
      <c r="GT38" s="137">
        <f t="shared" ref="GT38:JE38" si="31">IF(SUM(GT15:GT16)=0," ",(GT15+GT16)/(GT17+(GT18*0.46)+(GT19*0.15)+(GT20*0.46)))</f>
        <v>0.5625</v>
      </c>
      <c r="GU38" s="137" t="str">
        <f t="shared" si="31"/>
        <v xml:space="preserve"> </v>
      </c>
      <c r="GV38" s="137" t="str">
        <f t="shared" si="31"/>
        <v xml:space="preserve"> </v>
      </c>
      <c r="GW38" s="137" t="str">
        <f t="shared" si="31"/>
        <v xml:space="preserve"> </v>
      </c>
      <c r="GX38" s="137">
        <f t="shared" si="31"/>
        <v>0.57391304347826089</v>
      </c>
      <c r="GY38" s="137">
        <f t="shared" si="31"/>
        <v>0.57339449541284404</v>
      </c>
      <c r="GZ38" s="137">
        <f t="shared" si="31"/>
        <v>0.6</v>
      </c>
      <c r="HA38" s="137">
        <f t="shared" si="31"/>
        <v>0.56923076923076921</v>
      </c>
      <c r="HB38" s="137">
        <f t="shared" si="31"/>
        <v>0.56390977443609025</v>
      </c>
      <c r="HC38" s="137" t="str">
        <f t="shared" si="31"/>
        <v xml:space="preserve"> </v>
      </c>
      <c r="HD38" s="137" t="str">
        <f t="shared" si="31"/>
        <v xml:space="preserve"> </v>
      </c>
      <c r="HE38" s="137" t="str">
        <f t="shared" si="31"/>
        <v xml:space="preserve"> </v>
      </c>
      <c r="HF38" s="137">
        <f t="shared" si="31"/>
        <v>0.5357142857142857</v>
      </c>
      <c r="HG38" s="137">
        <f t="shared" si="31"/>
        <v>0.53636363636363638</v>
      </c>
      <c r="HH38" s="137" t="str">
        <f t="shared" si="31"/>
        <v xml:space="preserve"> </v>
      </c>
      <c r="HI38" s="137">
        <f t="shared" si="31"/>
        <v>0.55970149253731338</v>
      </c>
      <c r="HJ38" s="137" t="str">
        <f t="shared" si="31"/>
        <v xml:space="preserve"> </v>
      </c>
      <c r="HK38" s="137" t="str">
        <f t="shared" si="31"/>
        <v xml:space="preserve"> </v>
      </c>
      <c r="HL38" s="137" t="str">
        <f t="shared" si="31"/>
        <v xml:space="preserve"> </v>
      </c>
      <c r="HM38" s="137">
        <f t="shared" si="31"/>
        <v>0.55092592592592593</v>
      </c>
      <c r="HN38" s="137">
        <f t="shared" si="31"/>
        <v>0.44450618141408521</v>
      </c>
      <c r="HO38" s="137">
        <f t="shared" si="31"/>
        <v>0.53620195830280426</v>
      </c>
      <c r="HP38" s="137">
        <f t="shared" si="31"/>
        <v>0.60431537962362103</v>
      </c>
      <c r="HQ38" s="137" t="str">
        <f t="shared" si="31"/>
        <v xml:space="preserve"> </v>
      </c>
      <c r="HR38" s="137" t="str">
        <f t="shared" si="31"/>
        <v xml:space="preserve"> </v>
      </c>
      <c r="HS38" s="137">
        <f t="shared" si="31"/>
        <v>0.58333333333333337</v>
      </c>
      <c r="HT38" s="137">
        <f t="shared" si="31"/>
        <v>0.5429997064866452</v>
      </c>
      <c r="HU38" s="137">
        <f t="shared" si="31"/>
        <v>0.56149969051198156</v>
      </c>
      <c r="HV38" s="137">
        <f t="shared" si="31"/>
        <v>0.55634622849010218</v>
      </c>
      <c r="HW38" s="137">
        <f t="shared" si="31"/>
        <v>0.55340027384755819</v>
      </c>
      <c r="HX38" s="137" t="str">
        <f t="shared" si="31"/>
        <v xml:space="preserve"> </v>
      </c>
      <c r="HY38" s="137" t="str">
        <f t="shared" si="31"/>
        <v xml:space="preserve"> </v>
      </c>
      <c r="HZ38" s="137">
        <f t="shared" si="31"/>
        <v>0.52986512524084772</v>
      </c>
      <c r="IA38" s="137">
        <f t="shared" si="31"/>
        <v>0.57286790602291471</v>
      </c>
      <c r="IB38" s="137">
        <f t="shared" si="31"/>
        <v>0.55713915522155999</v>
      </c>
      <c r="IC38" s="137">
        <f t="shared" si="31"/>
        <v>0.29219571800456889</v>
      </c>
      <c r="ID38" s="137" t="str">
        <f t="shared" si="31"/>
        <v xml:space="preserve"> </v>
      </c>
      <c r="IE38" s="137" t="str">
        <f t="shared" si="31"/>
        <v xml:space="preserve"> </v>
      </c>
      <c r="IF38" s="137" t="str">
        <f t="shared" si="31"/>
        <v xml:space="preserve"> </v>
      </c>
      <c r="IG38" s="137">
        <f t="shared" si="31"/>
        <v>0.52313619051788296</v>
      </c>
      <c r="IH38" s="137" t="str">
        <f t="shared" si="31"/>
        <v xml:space="preserve"> </v>
      </c>
      <c r="II38" s="137">
        <f t="shared" si="31"/>
        <v>0.55668955279272592</v>
      </c>
      <c r="IJ38" s="137" t="str">
        <f t="shared" si="31"/>
        <v xml:space="preserve"> </v>
      </c>
      <c r="IK38" s="137">
        <f t="shared" si="31"/>
        <v>0.53554040895813049</v>
      </c>
      <c r="IL38" s="137" t="str">
        <f t="shared" si="31"/>
        <v xml:space="preserve"> </v>
      </c>
      <c r="IM38" s="137" t="str">
        <f t="shared" si="31"/>
        <v xml:space="preserve"> </v>
      </c>
      <c r="IN38" s="137">
        <f t="shared" si="31"/>
        <v>0.58333333333333337</v>
      </c>
      <c r="IO38" s="137">
        <f t="shared" si="31"/>
        <v>0.53205294575655337</v>
      </c>
      <c r="IP38" s="137" t="str">
        <f t="shared" si="31"/>
        <v xml:space="preserve"> </v>
      </c>
      <c r="IQ38" s="137">
        <f t="shared" si="31"/>
        <v>0.50554323725055428</v>
      </c>
      <c r="IR38" s="137" t="str">
        <f t="shared" si="31"/>
        <v xml:space="preserve"> </v>
      </c>
      <c r="IS38" s="137" t="str">
        <f t="shared" si="31"/>
        <v xml:space="preserve"> </v>
      </c>
      <c r="IT38" s="137" t="str">
        <f t="shared" si="31"/>
        <v xml:space="preserve"> </v>
      </c>
      <c r="IU38" s="137">
        <f t="shared" si="31"/>
        <v>0.53168402777777779</v>
      </c>
      <c r="IV38" s="137" t="str">
        <f t="shared" si="31"/>
        <v xml:space="preserve"> </v>
      </c>
      <c r="IW38" s="137">
        <f t="shared" si="31"/>
        <v>0.53743164246652841</v>
      </c>
      <c r="IX38" s="137">
        <f t="shared" si="31"/>
        <v>0.56484578223708659</v>
      </c>
      <c r="IY38" s="137">
        <f t="shared" si="31"/>
        <v>0.45993218518145501</v>
      </c>
      <c r="IZ38" s="137" t="str">
        <f t="shared" si="31"/>
        <v xml:space="preserve"> </v>
      </c>
      <c r="JA38" s="137" t="str">
        <f t="shared" si="31"/>
        <v xml:space="preserve"> </v>
      </c>
      <c r="JB38" s="137" t="str">
        <f t="shared" si="31"/>
        <v xml:space="preserve"> </v>
      </c>
      <c r="JC38" s="137">
        <f t="shared" si="31"/>
        <v>0.55859137826350946</v>
      </c>
      <c r="JD38" s="137">
        <f t="shared" si="31"/>
        <v>1.037037037037037</v>
      </c>
      <c r="JE38" s="137" t="str">
        <f t="shared" si="31"/>
        <v xml:space="preserve"> </v>
      </c>
      <c r="JF38" s="137" t="str">
        <f t="shared" ref="JF38:LQ38" si="32">IF(SUM(JF15:JF16)=0," ",(JF15+JF16)/(JF17+(JF18*0.46)+(JF19*0.15)+(JF20*0.46)))</f>
        <v xml:space="preserve"> </v>
      </c>
      <c r="JG38" s="137" t="str">
        <f t="shared" si="32"/>
        <v xml:space="preserve"> </v>
      </c>
      <c r="JH38" s="137" t="str">
        <f t="shared" si="32"/>
        <v xml:space="preserve"> </v>
      </c>
      <c r="JI38" s="137" t="str">
        <f t="shared" si="32"/>
        <v xml:space="preserve"> </v>
      </c>
      <c r="JJ38" s="137">
        <f t="shared" si="32"/>
        <v>0.56666666666666665</v>
      </c>
      <c r="JK38" s="137">
        <f t="shared" si="32"/>
        <v>0.53274226162700256</v>
      </c>
      <c r="JL38" s="137" t="str">
        <f t="shared" si="32"/>
        <v xml:space="preserve"> </v>
      </c>
      <c r="JM38" s="137">
        <f t="shared" si="32"/>
        <v>0.53848590433956289</v>
      </c>
      <c r="JN38" s="137" t="str">
        <f t="shared" si="32"/>
        <v xml:space="preserve"> </v>
      </c>
      <c r="JO38" s="137" t="str">
        <f t="shared" si="32"/>
        <v xml:space="preserve"> </v>
      </c>
      <c r="JP38" s="137">
        <f t="shared" si="32"/>
        <v>0.56453013722424872</v>
      </c>
      <c r="JQ38" s="137">
        <f t="shared" si="32"/>
        <v>0.58035714285714279</v>
      </c>
      <c r="JR38" s="137">
        <f t="shared" si="32"/>
        <v>0.5667871647253091</v>
      </c>
      <c r="JS38" s="137" t="str">
        <f t="shared" si="32"/>
        <v xml:space="preserve"> </v>
      </c>
      <c r="JT38" s="137">
        <f t="shared" si="32"/>
        <v>0.52747252747252749</v>
      </c>
      <c r="JU38" s="137" t="str">
        <f t="shared" si="32"/>
        <v xml:space="preserve"> </v>
      </c>
      <c r="JV38" s="137" t="str">
        <f t="shared" si="32"/>
        <v xml:space="preserve"> </v>
      </c>
      <c r="JW38" s="137" t="str">
        <f t="shared" si="32"/>
        <v xml:space="preserve"> </v>
      </c>
      <c r="JX38" s="137">
        <f t="shared" si="32"/>
        <v>0.52857142857142858</v>
      </c>
      <c r="JY38" s="137" t="str">
        <f t="shared" si="32"/>
        <v xml:space="preserve"> </v>
      </c>
      <c r="JZ38" s="137">
        <f t="shared" si="32"/>
        <v>0.50782903089293274</v>
      </c>
      <c r="KA38" s="137">
        <f t="shared" si="32"/>
        <v>0.53652076471187471</v>
      </c>
      <c r="KB38" s="137" t="str">
        <f t="shared" si="32"/>
        <v xml:space="preserve"> </v>
      </c>
      <c r="KC38" s="137" t="str">
        <f t="shared" si="32"/>
        <v xml:space="preserve"> </v>
      </c>
      <c r="KD38" s="137" t="str">
        <f t="shared" si="32"/>
        <v xml:space="preserve"> </v>
      </c>
      <c r="KE38" s="137" t="str">
        <f t="shared" si="32"/>
        <v xml:space="preserve"> </v>
      </c>
      <c r="KF38" s="137">
        <f t="shared" si="32"/>
        <v>0.49706649282920468</v>
      </c>
      <c r="KG38" s="137">
        <f t="shared" si="32"/>
        <v>0.54189925896908564</v>
      </c>
      <c r="KH38" s="137">
        <f t="shared" si="32"/>
        <v>0.44703044064429148</v>
      </c>
      <c r="KI38" s="137" t="str">
        <f t="shared" si="32"/>
        <v xml:space="preserve"> </v>
      </c>
      <c r="KJ38" s="137" t="str">
        <f t="shared" si="32"/>
        <v xml:space="preserve"> </v>
      </c>
      <c r="KK38" s="137" t="str">
        <f t="shared" si="32"/>
        <v xml:space="preserve"> </v>
      </c>
      <c r="KL38" s="137">
        <f t="shared" si="32"/>
        <v>0.5988023952095809</v>
      </c>
      <c r="KM38" s="137">
        <f t="shared" si="32"/>
        <v>0.49754417299228165</v>
      </c>
      <c r="KN38" s="137">
        <f t="shared" si="32"/>
        <v>0.55172413793103448</v>
      </c>
      <c r="KO38" s="137">
        <f t="shared" si="32"/>
        <v>0.521669341894061</v>
      </c>
      <c r="KP38" s="137" t="str">
        <f t="shared" si="32"/>
        <v xml:space="preserve"> </v>
      </c>
      <c r="KQ38" s="137" t="str">
        <f t="shared" si="32"/>
        <v xml:space="preserve"> </v>
      </c>
      <c r="KR38" s="137">
        <f t="shared" si="32"/>
        <v>0.57450628366247758</v>
      </c>
      <c r="KS38" s="137">
        <f t="shared" si="32"/>
        <v>0.52486187845303867</v>
      </c>
      <c r="KT38" s="137">
        <f t="shared" si="32"/>
        <v>0.59491483584300164</v>
      </c>
      <c r="KU38" s="137">
        <f t="shared" si="32"/>
        <v>0.54373977480511981</v>
      </c>
      <c r="KV38" s="137" t="str">
        <f t="shared" si="32"/>
        <v xml:space="preserve"> </v>
      </c>
      <c r="KW38" s="137" t="str">
        <f t="shared" si="32"/>
        <v xml:space="preserve"> </v>
      </c>
      <c r="KX38" s="137" t="str">
        <f t="shared" si="32"/>
        <v xml:space="preserve"> </v>
      </c>
      <c r="KY38" s="137" t="str">
        <f t="shared" si="32"/>
        <v xml:space="preserve"> </v>
      </c>
      <c r="KZ38" s="137" t="str">
        <f t="shared" si="32"/>
        <v xml:space="preserve"> </v>
      </c>
      <c r="LA38" s="137">
        <f t="shared" si="32"/>
        <v>0.53090253430832413</v>
      </c>
      <c r="LB38" s="137" t="str">
        <f t="shared" si="32"/>
        <v xml:space="preserve"> </v>
      </c>
      <c r="LC38" s="137">
        <f t="shared" si="32"/>
        <v>0.53772997955737267</v>
      </c>
      <c r="LD38" s="137" t="str">
        <f t="shared" si="32"/>
        <v xml:space="preserve"> </v>
      </c>
      <c r="LE38" s="137" t="str">
        <f t="shared" si="32"/>
        <v xml:space="preserve"> </v>
      </c>
      <c r="LF38" s="137">
        <f t="shared" si="32"/>
        <v>0.54166666666666663</v>
      </c>
      <c r="LG38" s="137">
        <f t="shared" si="32"/>
        <v>0.58575445173383311</v>
      </c>
      <c r="LH38" s="137">
        <f t="shared" si="32"/>
        <v>0.52777777777777779</v>
      </c>
      <c r="LI38" s="137">
        <f t="shared" si="32"/>
        <v>0.56300268096514738</v>
      </c>
      <c r="LJ38" s="137">
        <f t="shared" si="32"/>
        <v>0.50412465627864356</v>
      </c>
      <c r="LK38" s="137" t="str">
        <f t="shared" si="32"/>
        <v xml:space="preserve"> </v>
      </c>
      <c r="LL38" s="137" t="str">
        <f t="shared" si="32"/>
        <v xml:space="preserve"> </v>
      </c>
      <c r="LM38" s="137" t="str">
        <f t="shared" si="32"/>
        <v xml:space="preserve"> </v>
      </c>
      <c r="LN38" s="137">
        <f t="shared" si="32"/>
        <v>0.52873563218390807</v>
      </c>
      <c r="LO38" s="137" t="str">
        <f t="shared" si="32"/>
        <v xml:space="preserve"> </v>
      </c>
      <c r="LP38" s="137">
        <f t="shared" si="32"/>
        <v>0.5436918642735491</v>
      </c>
      <c r="LQ38" s="137">
        <f t="shared" si="32"/>
        <v>0.51868599547812211</v>
      </c>
      <c r="LR38" s="137" t="str">
        <f t="shared" ref="LR38:NF38" si="33">IF(SUM(LR15:LR16)=0," ",(LR15+LR16)/(LR17+(LR18*0.46)+(LR19*0.15)+(LR20*0.46)))</f>
        <v xml:space="preserve"> </v>
      </c>
      <c r="LS38" s="137" t="str">
        <f t="shared" si="33"/>
        <v xml:space="preserve"> </v>
      </c>
      <c r="LT38" s="137">
        <f t="shared" si="33"/>
        <v>0.58906426155580605</v>
      </c>
      <c r="LU38" s="137" t="str">
        <f t="shared" si="33"/>
        <v xml:space="preserve"> </v>
      </c>
      <c r="LV38" s="137">
        <f t="shared" si="33"/>
        <v>0.56354048185296246</v>
      </c>
      <c r="LW38" s="137" t="str">
        <f t="shared" si="33"/>
        <v xml:space="preserve"> </v>
      </c>
      <c r="LX38" s="137">
        <f t="shared" si="33"/>
        <v>0.52019832561163948</v>
      </c>
      <c r="LY38" s="137" t="str">
        <f t="shared" si="33"/>
        <v xml:space="preserve"> </v>
      </c>
      <c r="LZ38" s="137" t="str">
        <f t="shared" si="33"/>
        <v xml:space="preserve"> </v>
      </c>
      <c r="MA38" s="137" t="str">
        <f t="shared" si="33"/>
        <v xml:space="preserve"> </v>
      </c>
      <c r="MB38" s="137">
        <f t="shared" si="33"/>
        <v>0.58751404924900374</v>
      </c>
      <c r="MC38" s="137" t="str">
        <f t="shared" si="33"/>
        <v xml:space="preserve"> </v>
      </c>
      <c r="MD38" s="137">
        <f t="shared" si="33"/>
        <v>0.5539160045402951</v>
      </c>
      <c r="ME38" s="137" t="str">
        <f t="shared" si="33"/>
        <v xml:space="preserve"> </v>
      </c>
      <c r="MF38" s="137" t="str">
        <f t="shared" si="33"/>
        <v xml:space="preserve"> </v>
      </c>
      <c r="MG38" s="137" t="str">
        <f t="shared" si="33"/>
        <v xml:space="preserve"> </v>
      </c>
      <c r="MH38" s="137">
        <f t="shared" si="33"/>
        <v>0.60305548110426155</v>
      </c>
      <c r="MI38" s="137">
        <f t="shared" si="33"/>
        <v>0.53066696458496254</v>
      </c>
      <c r="MJ38" s="137" t="str">
        <f t="shared" si="33"/>
        <v xml:space="preserve"> </v>
      </c>
      <c r="MK38" s="137">
        <f t="shared" si="33"/>
        <v>0.50842670181715466</v>
      </c>
      <c r="ML38" s="137">
        <f t="shared" si="33"/>
        <v>0.52532168575138716</v>
      </c>
      <c r="MM38" s="137" t="str">
        <f t="shared" si="33"/>
        <v xml:space="preserve"> </v>
      </c>
      <c r="MN38" s="137" t="str">
        <f t="shared" si="33"/>
        <v xml:space="preserve"> </v>
      </c>
      <c r="MO38" s="137" t="str">
        <f t="shared" si="33"/>
        <v xml:space="preserve"> </v>
      </c>
      <c r="MP38" s="137">
        <f t="shared" si="33"/>
        <v>0.48332527791203478</v>
      </c>
      <c r="MQ38" s="137">
        <f t="shared" si="33"/>
        <v>0.56944444444444442</v>
      </c>
      <c r="MR38" s="137">
        <f t="shared" si="33"/>
        <v>0.52937929650258408</v>
      </c>
      <c r="MS38" s="137">
        <f t="shared" si="33"/>
        <v>0.40740740740740738</v>
      </c>
      <c r="MT38" s="137" t="str">
        <f t="shared" si="33"/>
        <v xml:space="preserve"> </v>
      </c>
      <c r="MU38" s="137" t="str">
        <f t="shared" si="33"/>
        <v xml:space="preserve"> </v>
      </c>
      <c r="MV38" s="137">
        <f t="shared" si="33"/>
        <v>0.54621848739495793</v>
      </c>
      <c r="MW38" s="137">
        <f t="shared" si="33"/>
        <v>0.53835800807537004</v>
      </c>
      <c r="MX38" s="137">
        <f t="shared" si="33"/>
        <v>0.52533705253370522</v>
      </c>
      <c r="MY38" s="137">
        <f t="shared" si="33"/>
        <v>0.53210092430676992</v>
      </c>
      <c r="MZ38" s="137" t="str">
        <f t="shared" si="33"/>
        <v xml:space="preserve"> </v>
      </c>
      <c r="NA38" s="137" t="str">
        <f t="shared" si="33"/>
        <v xml:space="preserve"> </v>
      </c>
      <c r="NB38" s="137" t="str">
        <f t="shared" si="33"/>
        <v xml:space="preserve"> </v>
      </c>
      <c r="NC38" s="137" t="str">
        <f t="shared" si="33"/>
        <v xml:space="preserve"> </v>
      </c>
      <c r="ND38" s="137">
        <f t="shared" si="33"/>
        <v>0.52202699261522789</v>
      </c>
      <c r="NE38" s="137" t="str">
        <f t="shared" si="33"/>
        <v xml:space="preserve"> </v>
      </c>
      <c r="NF38" s="137">
        <f t="shared" si="33"/>
        <v>0.50095886658056443</v>
      </c>
      <c r="NG38" s="137" t="str">
        <f t="shared" ref="NG38:NI38" si="34">IF(SUM(NG15:NG16)=0," ",(NG15+NG16)/(NG17+(NG18*0.46)+(NG19*0.15)+(NG20*0.46)))</f>
        <v xml:space="preserve"> </v>
      </c>
      <c r="NH38" s="137" t="str">
        <f t="shared" si="34"/>
        <v xml:space="preserve"> </v>
      </c>
      <c r="NI38" s="137" t="str">
        <f t="shared" si="34"/>
        <v xml:space="preserve"> </v>
      </c>
    </row>
    <row r="39" spans="1:373" x14ac:dyDescent="0.2">
      <c r="A39" s="17" t="s">
        <v>27</v>
      </c>
      <c r="B39" s="137" t="str">
        <f t="shared" ref="B39:I39" si="35">IF(SUM(B21:B22)=0," ",(B21+B22)/(B23+(B24*0.34)))</f>
        <v xml:space="preserve"> </v>
      </c>
      <c r="C39" s="137" t="str">
        <f t="shared" si="35"/>
        <v xml:space="preserve"> </v>
      </c>
      <c r="D39" s="137" t="str">
        <f t="shared" si="35"/>
        <v xml:space="preserve"> </v>
      </c>
      <c r="E39" s="137" t="str">
        <f t="shared" si="35"/>
        <v xml:space="preserve"> </v>
      </c>
      <c r="F39" s="137" t="str">
        <f t="shared" si="35"/>
        <v xml:space="preserve"> </v>
      </c>
      <c r="G39" s="137" t="str">
        <f t="shared" si="35"/>
        <v xml:space="preserve"> </v>
      </c>
      <c r="H39" s="137" t="str">
        <f t="shared" si="35"/>
        <v xml:space="preserve"> </v>
      </c>
      <c r="I39" s="137" t="str">
        <f t="shared" si="35"/>
        <v xml:space="preserve"> </v>
      </c>
      <c r="J39" s="137" t="str">
        <f t="shared" ref="J39:BU39" si="36">IF(SUM(J21:J22)=0," ",(J21+J22)/(J23+(J24*0.34)))</f>
        <v xml:space="preserve"> </v>
      </c>
      <c r="K39" s="137" t="str">
        <f t="shared" si="36"/>
        <v xml:space="preserve"> </v>
      </c>
      <c r="L39" s="137" t="str">
        <f t="shared" si="36"/>
        <v xml:space="preserve"> </v>
      </c>
      <c r="M39" s="137" t="str">
        <f t="shared" si="36"/>
        <v xml:space="preserve"> </v>
      </c>
      <c r="N39" s="137" t="str">
        <f t="shared" si="36"/>
        <v xml:space="preserve"> </v>
      </c>
      <c r="O39" s="137" t="str">
        <f t="shared" si="36"/>
        <v xml:space="preserve"> </v>
      </c>
      <c r="P39" s="137" t="str">
        <f t="shared" si="36"/>
        <v xml:space="preserve"> </v>
      </c>
      <c r="Q39" s="137" t="str">
        <f t="shared" si="36"/>
        <v xml:space="preserve"> </v>
      </c>
      <c r="R39" s="137">
        <f t="shared" si="36"/>
        <v>0.74766355140186913</v>
      </c>
      <c r="S39" s="137" t="str">
        <f t="shared" si="36"/>
        <v xml:space="preserve"> </v>
      </c>
      <c r="T39" s="137">
        <f t="shared" si="36"/>
        <v>0.90225563909774431</v>
      </c>
      <c r="U39" s="137" t="str">
        <f t="shared" si="36"/>
        <v xml:space="preserve"> </v>
      </c>
      <c r="V39" s="137" t="str">
        <f t="shared" si="36"/>
        <v xml:space="preserve"> </v>
      </c>
      <c r="W39" s="137" t="str">
        <f t="shared" si="36"/>
        <v xml:space="preserve"> </v>
      </c>
      <c r="X39" s="137" t="str">
        <f t="shared" si="36"/>
        <v xml:space="preserve"> </v>
      </c>
      <c r="Y39" s="137" t="str">
        <f t="shared" si="36"/>
        <v xml:space="preserve"> </v>
      </c>
      <c r="Z39" s="137" t="str">
        <f t="shared" si="36"/>
        <v xml:space="preserve"> </v>
      </c>
      <c r="AA39" s="137" t="str">
        <f t="shared" si="36"/>
        <v xml:space="preserve"> </v>
      </c>
      <c r="AB39" s="137" t="str">
        <f t="shared" si="36"/>
        <v xml:space="preserve"> </v>
      </c>
      <c r="AC39" s="137" t="str">
        <f t="shared" si="36"/>
        <v xml:space="preserve"> </v>
      </c>
      <c r="AD39" s="137" t="str">
        <f t="shared" si="36"/>
        <v xml:space="preserve"> </v>
      </c>
      <c r="AE39" s="137">
        <f t="shared" si="36"/>
        <v>0.64940125204561394</v>
      </c>
      <c r="AF39" s="137" t="str">
        <f t="shared" si="36"/>
        <v xml:space="preserve"> </v>
      </c>
      <c r="AG39" s="137" t="str">
        <f t="shared" si="36"/>
        <v xml:space="preserve"> </v>
      </c>
      <c r="AH39" s="137" t="str">
        <f t="shared" si="36"/>
        <v xml:space="preserve"> </v>
      </c>
      <c r="AI39" s="137" t="str">
        <f t="shared" si="36"/>
        <v xml:space="preserve"> </v>
      </c>
      <c r="AJ39" s="137" t="str">
        <f t="shared" si="36"/>
        <v xml:space="preserve"> </v>
      </c>
      <c r="AK39" s="137" t="str">
        <f t="shared" si="36"/>
        <v xml:space="preserve"> </v>
      </c>
      <c r="AL39" s="137" t="str">
        <f t="shared" si="36"/>
        <v xml:space="preserve"> </v>
      </c>
      <c r="AM39" s="137" t="str">
        <f t="shared" si="36"/>
        <v xml:space="preserve"> </v>
      </c>
      <c r="AN39" s="137" t="str">
        <f t="shared" si="36"/>
        <v xml:space="preserve"> </v>
      </c>
      <c r="AO39" s="137" t="str">
        <f t="shared" si="36"/>
        <v xml:space="preserve"> </v>
      </c>
      <c r="AP39" s="137" t="str">
        <f t="shared" si="36"/>
        <v xml:space="preserve"> </v>
      </c>
      <c r="AQ39" s="137" t="str">
        <f t="shared" si="36"/>
        <v xml:space="preserve"> </v>
      </c>
      <c r="AR39" s="137" t="str">
        <f t="shared" si="36"/>
        <v xml:space="preserve"> </v>
      </c>
      <c r="AS39" s="137" t="str">
        <f t="shared" si="36"/>
        <v xml:space="preserve"> </v>
      </c>
      <c r="AT39" s="137" t="str">
        <f t="shared" si="36"/>
        <v xml:space="preserve"> </v>
      </c>
      <c r="AU39" s="137" t="str">
        <f t="shared" si="36"/>
        <v xml:space="preserve"> </v>
      </c>
      <c r="AV39" s="137" t="str">
        <f t="shared" si="36"/>
        <v xml:space="preserve"> </v>
      </c>
      <c r="AW39" s="137" t="str">
        <f t="shared" si="36"/>
        <v xml:space="preserve"> </v>
      </c>
      <c r="AX39" s="137" t="str">
        <f t="shared" si="36"/>
        <v xml:space="preserve"> </v>
      </c>
      <c r="AY39" s="137" t="str">
        <f t="shared" si="36"/>
        <v xml:space="preserve"> </v>
      </c>
      <c r="AZ39" s="137" t="str">
        <f t="shared" si="36"/>
        <v xml:space="preserve"> </v>
      </c>
      <c r="BA39" s="137">
        <f t="shared" si="36"/>
        <v>0.73126142595978061</v>
      </c>
      <c r="BB39" s="137" t="str">
        <f t="shared" si="36"/>
        <v xml:space="preserve"> </v>
      </c>
      <c r="BC39" s="137" t="str">
        <f t="shared" si="36"/>
        <v xml:space="preserve"> </v>
      </c>
      <c r="BD39" s="137" t="str">
        <f t="shared" si="36"/>
        <v xml:space="preserve"> </v>
      </c>
      <c r="BE39" s="137" t="str">
        <f t="shared" si="36"/>
        <v xml:space="preserve"> </v>
      </c>
      <c r="BF39" s="137" t="str">
        <f t="shared" si="36"/>
        <v xml:space="preserve"> </v>
      </c>
      <c r="BG39" s="137">
        <f t="shared" si="36"/>
        <v>0.71123755334281658</v>
      </c>
      <c r="BH39" s="137" t="str">
        <f t="shared" si="36"/>
        <v xml:space="preserve"> </v>
      </c>
      <c r="BI39" s="137" t="str">
        <f t="shared" si="36"/>
        <v xml:space="preserve"> </v>
      </c>
      <c r="BJ39" s="137" t="str">
        <f t="shared" si="36"/>
        <v xml:space="preserve"> </v>
      </c>
      <c r="BK39" s="137">
        <f t="shared" si="36"/>
        <v>0.81300813008130079</v>
      </c>
      <c r="BL39" s="137" t="str">
        <f t="shared" si="36"/>
        <v xml:space="preserve"> </v>
      </c>
      <c r="BM39" s="137" t="str">
        <f t="shared" si="36"/>
        <v xml:space="preserve"> </v>
      </c>
      <c r="BN39" s="137" t="str">
        <f t="shared" si="36"/>
        <v xml:space="preserve"> </v>
      </c>
      <c r="BO39" s="137" t="str">
        <f t="shared" si="36"/>
        <v xml:space="preserve"> </v>
      </c>
      <c r="BP39" s="137" t="str">
        <f t="shared" si="36"/>
        <v xml:space="preserve"> </v>
      </c>
      <c r="BQ39" s="137" t="str">
        <f t="shared" si="36"/>
        <v xml:space="preserve"> </v>
      </c>
      <c r="BR39" s="137">
        <f t="shared" si="36"/>
        <v>1.2797542871768619</v>
      </c>
      <c r="BS39" s="137" t="str">
        <f t="shared" si="36"/>
        <v xml:space="preserve"> </v>
      </c>
      <c r="BT39" s="137" t="str">
        <f t="shared" si="36"/>
        <v xml:space="preserve"> </v>
      </c>
      <c r="BU39" s="137" t="str">
        <f t="shared" si="36"/>
        <v xml:space="preserve"> </v>
      </c>
      <c r="BV39" s="137" t="str">
        <f t="shared" ref="BV39:EG39" si="37">IF(SUM(BV21:BV22)=0," ",(BV21+BV22)/(BV23+(BV24*0.34)))</f>
        <v xml:space="preserve"> </v>
      </c>
      <c r="BW39" s="137" t="str">
        <f t="shared" si="37"/>
        <v xml:space="preserve"> </v>
      </c>
      <c r="BX39" s="137">
        <f t="shared" si="37"/>
        <v>0.89529522359998215</v>
      </c>
      <c r="BY39" s="137" t="str">
        <f t="shared" si="37"/>
        <v xml:space="preserve"> </v>
      </c>
      <c r="BZ39" s="137" t="str">
        <f t="shared" si="37"/>
        <v xml:space="preserve"> </v>
      </c>
      <c r="CA39" s="137" t="str">
        <f t="shared" si="37"/>
        <v xml:space="preserve"> </v>
      </c>
      <c r="CB39" s="137" t="str">
        <f t="shared" si="37"/>
        <v xml:space="preserve"> </v>
      </c>
      <c r="CC39" s="137" t="str">
        <f t="shared" si="37"/>
        <v xml:space="preserve"> </v>
      </c>
      <c r="CD39" s="137" t="str">
        <f t="shared" si="37"/>
        <v xml:space="preserve"> </v>
      </c>
      <c r="CE39" s="137" t="str">
        <f t="shared" si="37"/>
        <v xml:space="preserve"> </v>
      </c>
      <c r="CF39" s="137" t="str">
        <f t="shared" si="37"/>
        <v xml:space="preserve"> </v>
      </c>
      <c r="CG39" s="137" t="str">
        <f t="shared" si="37"/>
        <v xml:space="preserve"> </v>
      </c>
      <c r="CH39" s="137" t="str">
        <f t="shared" si="37"/>
        <v xml:space="preserve"> </v>
      </c>
      <c r="CI39" s="137">
        <f t="shared" si="37"/>
        <v>1.1795487689800122</v>
      </c>
      <c r="CJ39" s="137">
        <f t="shared" si="37"/>
        <v>1.4086094207798061</v>
      </c>
      <c r="CK39" s="137" t="str">
        <f t="shared" si="37"/>
        <v xml:space="preserve"> </v>
      </c>
      <c r="CL39" s="137" t="str">
        <f t="shared" si="37"/>
        <v xml:space="preserve"> </v>
      </c>
      <c r="CM39" s="137" t="str">
        <f t="shared" si="37"/>
        <v xml:space="preserve"> </v>
      </c>
      <c r="CN39" s="137" t="str">
        <f t="shared" si="37"/>
        <v xml:space="preserve"> </v>
      </c>
      <c r="CO39" s="137" t="str">
        <f t="shared" si="37"/>
        <v xml:space="preserve"> </v>
      </c>
      <c r="CP39" s="137" t="str">
        <f t="shared" si="37"/>
        <v xml:space="preserve"> </v>
      </c>
      <c r="CQ39" s="137">
        <f t="shared" si="37"/>
        <v>2.1897810218978102</v>
      </c>
      <c r="CR39" s="137" t="str">
        <f t="shared" si="37"/>
        <v xml:space="preserve"> </v>
      </c>
      <c r="CS39" s="137" t="str">
        <f t="shared" si="37"/>
        <v xml:space="preserve"> </v>
      </c>
      <c r="CT39" s="137" t="str">
        <f t="shared" si="37"/>
        <v xml:space="preserve"> </v>
      </c>
      <c r="CU39" s="137" t="str">
        <f t="shared" si="37"/>
        <v xml:space="preserve"> </v>
      </c>
      <c r="CV39" s="137" t="str">
        <f t="shared" si="37"/>
        <v xml:space="preserve"> </v>
      </c>
      <c r="CW39" s="137">
        <f t="shared" si="37"/>
        <v>1.0178117048346056</v>
      </c>
      <c r="CX39" s="137" t="str">
        <f t="shared" si="37"/>
        <v xml:space="preserve"> </v>
      </c>
      <c r="CY39" s="137" t="str">
        <f t="shared" si="37"/>
        <v xml:space="preserve"> </v>
      </c>
      <c r="CZ39" s="137" t="str">
        <f t="shared" si="37"/>
        <v xml:space="preserve"> </v>
      </c>
      <c r="DA39" s="137" t="str">
        <f t="shared" si="37"/>
        <v xml:space="preserve"> </v>
      </c>
      <c r="DB39" s="137" t="str">
        <f t="shared" si="37"/>
        <v xml:space="preserve"> </v>
      </c>
      <c r="DC39" s="137" t="str">
        <f t="shared" si="37"/>
        <v xml:space="preserve"> </v>
      </c>
      <c r="DD39" s="137">
        <f t="shared" si="37"/>
        <v>1.0366684438125704</v>
      </c>
      <c r="DE39" s="137" t="str">
        <f t="shared" si="37"/>
        <v xml:space="preserve"> </v>
      </c>
      <c r="DF39" s="137" t="str">
        <f t="shared" si="37"/>
        <v xml:space="preserve"> </v>
      </c>
      <c r="DG39" s="137" t="str">
        <f t="shared" si="37"/>
        <v xml:space="preserve"> </v>
      </c>
      <c r="DH39" s="137" t="str">
        <f t="shared" si="37"/>
        <v xml:space="preserve"> </v>
      </c>
      <c r="DI39" s="137" t="str">
        <f t="shared" si="37"/>
        <v xml:space="preserve"> </v>
      </c>
      <c r="DJ39" s="137" t="str">
        <f t="shared" si="37"/>
        <v xml:space="preserve"> </v>
      </c>
      <c r="DK39" s="137" t="str">
        <f t="shared" si="37"/>
        <v xml:space="preserve"> </v>
      </c>
      <c r="DL39" s="137" t="str">
        <f t="shared" si="37"/>
        <v xml:space="preserve"> </v>
      </c>
      <c r="DM39" s="137" t="str">
        <f t="shared" si="37"/>
        <v xml:space="preserve"> </v>
      </c>
      <c r="DN39" s="137">
        <f t="shared" si="37"/>
        <v>0.93838811732532568</v>
      </c>
      <c r="DO39" s="137" t="str">
        <f t="shared" si="37"/>
        <v xml:space="preserve"> </v>
      </c>
      <c r="DP39" s="137" t="str">
        <f t="shared" si="37"/>
        <v xml:space="preserve"> </v>
      </c>
      <c r="DQ39" s="137" t="str">
        <f t="shared" si="37"/>
        <v xml:space="preserve"> </v>
      </c>
      <c r="DR39" s="137" t="str">
        <f t="shared" si="37"/>
        <v xml:space="preserve"> </v>
      </c>
      <c r="DS39" s="137" t="str">
        <f t="shared" si="37"/>
        <v xml:space="preserve"> </v>
      </c>
      <c r="DT39" s="137" t="str">
        <f t="shared" si="37"/>
        <v xml:space="preserve"> </v>
      </c>
      <c r="DU39" s="137" t="str">
        <f t="shared" si="37"/>
        <v xml:space="preserve"> </v>
      </c>
      <c r="DV39" s="137">
        <f t="shared" si="37"/>
        <v>0.60640362225097022</v>
      </c>
      <c r="DW39" s="137" t="str">
        <f t="shared" si="37"/>
        <v xml:space="preserve"> </v>
      </c>
      <c r="DX39" s="137" t="str">
        <f t="shared" si="37"/>
        <v xml:space="preserve"> </v>
      </c>
      <c r="DY39" s="137" t="str">
        <f t="shared" si="37"/>
        <v xml:space="preserve"> </v>
      </c>
      <c r="DZ39" s="137" t="str">
        <f t="shared" si="37"/>
        <v xml:space="preserve"> </v>
      </c>
      <c r="EA39" s="137" t="str">
        <f t="shared" si="37"/>
        <v xml:space="preserve"> </v>
      </c>
      <c r="EB39" s="137" t="str">
        <f t="shared" si="37"/>
        <v xml:space="preserve"> </v>
      </c>
      <c r="EC39" s="137">
        <f t="shared" si="37"/>
        <v>0.60640362225097022</v>
      </c>
      <c r="ED39" s="137" t="str">
        <f t="shared" si="37"/>
        <v xml:space="preserve"> </v>
      </c>
      <c r="EE39" s="137" t="str">
        <f t="shared" si="37"/>
        <v xml:space="preserve"> </v>
      </c>
      <c r="EF39" s="137" t="str">
        <f t="shared" si="37"/>
        <v xml:space="preserve"> </v>
      </c>
      <c r="EG39" s="137" t="str">
        <f t="shared" si="37"/>
        <v xml:space="preserve"> </v>
      </c>
      <c r="EH39" s="137" t="str">
        <f t="shared" ref="EH39:GS39" si="38">IF(SUM(EH21:EH22)=0," ",(EH21+EH22)/(EH23+(EH24*0.34)))</f>
        <v xml:space="preserve"> </v>
      </c>
      <c r="EI39" s="137" t="str">
        <f t="shared" si="38"/>
        <v xml:space="preserve"> </v>
      </c>
      <c r="EJ39" s="137" t="str">
        <f t="shared" si="38"/>
        <v xml:space="preserve"> </v>
      </c>
      <c r="EK39" s="137" t="str">
        <f t="shared" si="38"/>
        <v xml:space="preserve"> </v>
      </c>
      <c r="EL39" s="137" t="str">
        <f t="shared" si="38"/>
        <v xml:space="preserve"> </v>
      </c>
      <c r="EM39" s="137" t="str">
        <f t="shared" si="38"/>
        <v xml:space="preserve"> </v>
      </c>
      <c r="EN39" s="137" t="str">
        <f t="shared" si="38"/>
        <v xml:space="preserve"> </v>
      </c>
      <c r="EO39" s="137" t="str">
        <f t="shared" si="38"/>
        <v xml:space="preserve"> </v>
      </c>
      <c r="EP39" s="137" t="str">
        <f t="shared" si="38"/>
        <v xml:space="preserve"> </v>
      </c>
      <c r="EQ39" s="137" t="str">
        <f t="shared" si="38"/>
        <v xml:space="preserve"> </v>
      </c>
      <c r="ER39" s="137" t="str">
        <f t="shared" si="38"/>
        <v xml:space="preserve"> </v>
      </c>
      <c r="ES39" s="137" t="str">
        <f t="shared" si="38"/>
        <v xml:space="preserve"> </v>
      </c>
      <c r="ET39" s="137" t="str">
        <f t="shared" si="38"/>
        <v xml:space="preserve"> </v>
      </c>
      <c r="EU39" s="137" t="str">
        <f t="shared" si="38"/>
        <v xml:space="preserve"> </v>
      </c>
      <c r="EV39" s="137">
        <f t="shared" si="38"/>
        <v>0.7142857142857143</v>
      </c>
      <c r="EW39" s="137" t="str">
        <f t="shared" si="38"/>
        <v xml:space="preserve"> </v>
      </c>
      <c r="EX39" s="137" t="str">
        <f t="shared" si="38"/>
        <v xml:space="preserve"> </v>
      </c>
      <c r="EY39" s="137" t="str">
        <f t="shared" si="38"/>
        <v xml:space="preserve"> </v>
      </c>
      <c r="EZ39" s="137" t="str">
        <f t="shared" si="38"/>
        <v xml:space="preserve"> </v>
      </c>
      <c r="FA39" s="137">
        <f t="shared" si="38"/>
        <v>0.63380281690140849</v>
      </c>
      <c r="FB39" s="137" t="str">
        <f t="shared" si="38"/>
        <v xml:space="preserve"> </v>
      </c>
      <c r="FC39" s="137" t="str">
        <f t="shared" si="38"/>
        <v xml:space="preserve"> </v>
      </c>
      <c r="FD39" s="137" t="str">
        <f t="shared" si="38"/>
        <v xml:space="preserve"> </v>
      </c>
      <c r="FE39" s="137" t="str">
        <f t="shared" si="38"/>
        <v xml:space="preserve"> </v>
      </c>
      <c r="FF39" s="137" t="str">
        <f t="shared" si="38"/>
        <v xml:space="preserve"> </v>
      </c>
      <c r="FG39" s="137" t="str">
        <f t="shared" si="38"/>
        <v xml:space="preserve"> </v>
      </c>
      <c r="FH39" s="137" t="str">
        <f t="shared" si="38"/>
        <v xml:space="preserve"> </v>
      </c>
      <c r="FI39" s="137" t="str">
        <f t="shared" si="38"/>
        <v xml:space="preserve"> </v>
      </c>
      <c r="FJ39" s="137" t="str">
        <f t="shared" si="38"/>
        <v xml:space="preserve"> </v>
      </c>
      <c r="FK39" s="137" t="str">
        <f t="shared" si="38"/>
        <v xml:space="preserve"> </v>
      </c>
      <c r="FL39" s="137" t="str">
        <f t="shared" si="38"/>
        <v xml:space="preserve"> </v>
      </c>
      <c r="FM39" s="137" t="str">
        <f t="shared" si="38"/>
        <v xml:space="preserve"> </v>
      </c>
      <c r="FN39" s="137" t="str">
        <f t="shared" si="38"/>
        <v xml:space="preserve"> </v>
      </c>
      <c r="FO39" s="137" t="str">
        <f t="shared" si="38"/>
        <v xml:space="preserve"> </v>
      </c>
      <c r="FP39" s="137" t="str">
        <f t="shared" si="38"/>
        <v xml:space="preserve"> </v>
      </c>
      <c r="FQ39" s="137" t="str">
        <f t="shared" si="38"/>
        <v xml:space="preserve"> </v>
      </c>
      <c r="FR39" s="137" t="str">
        <f t="shared" si="38"/>
        <v xml:space="preserve"> </v>
      </c>
      <c r="FS39" s="137" t="str">
        <f t="shared" si="38"/>
        <v xml:space="preserve"> </v>
      </c>
      <c r="FT39" s="137" t="str">
        <f t="shared" si="38"/>
        <v xml:space="preserve"> </v>
      </c>
      <c r="FU39" s="137" t="str">
        <f t="shared" si="38"/>
        <v xml:space="preserve"> </v>
      </c>
      <c r="FV39" s="137" t="str">
        <f t="shared" si="38"/>
        <v xml:space="preserve"> </v>
      </c>
      <c r="FW39" s="137" t="str">
        <f t="shared" si="38"/>
        <v xml:space="preserve"> </v>
      </c>
      <c r="FX39" s="137" t="str">
        <f t="shared" si="38"/>
        <v xml:space="preserve"> </v>
      </c>
      <c r="FY39" s="137" t="str">
        <f t="shared" si="38"/>
        <v xml:space="preserve"> </v>
      </c>
      <c r="FZ39" s="137" t="str">
        <f t="shared" si="38"/>
        <v xml:space="preserve"> </v>
      </c>
      <c r="GA39" s="137" t="str">
        <f t="shared" si="38"/>
        <v xml:space="preserve"> </v>
      </c>
      <c r="GB39" s="137" t="str">
        <f t="shared" si="38"/>
        <v xml:space="preserve"> </v>
      </c>
      <c r="GC39" s="137" t="str">
        <f t="shared" si="38"/>
        <v xml:space="preserve"> </v>
      </c>
      <c r="GD39" s="137" t="str">
        <f t="shared" si="38"/>
        <v xml:space="preserve"> </v>
      </c>
      <c r="GE39" s="137" t="str">
        <f t="shared" si="38"/>
        <v xml:space="preserve"> </v>
      </c>
      <c r="GF39" s="137" t="str">
        <f t="shared" si="38"/>
        <v xml:space="preserve"> </v>
      </c>
      <c r="GG39" s="137" t="str">
        <f t="shared" si="38"/>
        <v xml:space="preserve"> </v>
      </c>
      <c r="GH39" s="137" t="str">
        <f t="shared" si="38"/>
        <v xml:space="preserve"> </v>
      </c>
      <c r="GI39" s="137" t="str">
        <f t="shared" si="38"/>
        <v xml:space="preserve"> </v>
      </c>
      <c r="GJ39" s="137" t="str">
        <f t="shared" si="38"/>
        <v xml:space="preserve"> </v>
      </c>
      <c r="GK39" s="137" t="str">
        <f t="shared" si="38"/>
        <v xml:space="preserve"> </v>
      </c>
      <c r="GL39" s="137" t="str">
        <f t="shared" si="38"/>
        <v xml:space="preserve"> </v>
      </c>
      <c r="GM39" s="137" t="str">
        <f t="shared" si="38"/>
        <v xml:space="preserve"> </v>
      </c>
      <c r="GN39" s="137" t="str">
        <f t="shared" si="38"/>
        <v xml:space="preserve"> </v>
      </c>
      <c r="GO39" s="137" t="str">
        <f t="shared" si="38"/>
        <v xml:space="preserve"> </v>
      </c>
      <c r="GP39" s="137" t="str">
        <f t="shared" si="38"/>
        <v xml:space="preserve"> </v>
      </c>
      <c r="GQ39" s="137" t="str">
        <f t="shared" si="38"/>
        <v xml:space="preserve"> </v>
      </c>
      <c r="GR39" s="137">
        <f t="shared" si="38"/>
        <v>0.61457418788410889</v>
      </c>
      <c r="GS39" s="137" t="str">
        <f t="shared" si="38"/>
        <v xml:space="preserve"> </v>
      </c>
      <c r="GT39" s="137" t="str">
        <f t="shared" ref="GT39:JE39" si="39">IF(SUM(GT21:GT22)=0," ",(GT21+GT22)/(GT23+(GT24*0.34)))</f>
        <v xml:space="preserve"> </v>
      </c>
      <c r="GU39" s="137" t="str">
        <f t="shared" si="39"/>
        <v xml:space="preserve"> </v>
      </c>
      <c r="GV39" s="137" t="str">
        <f t="shared" si="39"/>
        <v xml:space="preserve"> </v>
      </c>
      <c r="GW39" s="137" t="str">
        <f t="shared" si="39"/>
        <v xml:space="preserve"> </v>
      </c>
      <c r="GX39" s="137" t="str">
        <f t="shared" si="39"/>
        <v xml:space="preserve"> </v>
      </c>
      <c r="GY39" s="137" t="str">
        <f t="shared" si="39"/>
        <v xml:space="preserve"> </v>
      </c>
      <c r="GZ39" s="137" t="str">
        <f t="shared" si="39"/>
        <v xml:space="preserve"> </v>
      </c>
      <c r="HA39" s="137" t="str">
        <f t="shared" si="39"/>
        <v xml:space="preserve"> </v>
      </c>
      <c r="HB39" s="137" t="str">
        <f t="shared" si="39"/>
        <v xml:space="preserve"> </v>
      </c>
      <c r="HC39" s="137" t="str">
        <f t="shared" si="39"/>
        <v xml:space="preserve"> </v>
      </c>
      <c r="HD39" s="137" t="str">
        <f t="shared" si="39"/>
        <v xml:space="preserve"> </v>
      </c>
      <c r="HE39" s="137" t="str">
        <f t="shared" si="39"/>
        <v xml:space="preserve"> </v>
      </c>
      <c r="HF39" s="137" t="str">
        <f t="shared" si="39"/>
        <v xml:space="preserve"> </v>
      </c>
      <c r="HG39" s="137" t="str">
        <f t="shared" si="39"/>
        <v xml:space="preserve"> </v>
      </c>
      <c r="HH39" s="137">
        <f t="shared" si="39"/>
        <v>0.79063883617963315</v>
      </c>
      <c r="HI39" s="137" t="str">
        <f t="shared" si="39"/>
        <v xml:space="preserve"> </v>
      </c>
      <c r="HJ39" s="137" t="str">
        <f t="shared" si="39"/>
        <v xml:space="preserve"> </v>
      </c>
      <c r="HK39" s="137" t="str">
        <f t="shared" si="39"/>
        <v xml:space="preserve"> </v>
      </c>
      <c r="HL39" s="137" t="str">
        <f t="shared" si="39"/>
        <v xml:space="preserve"> </v>
      </c>
      <c r="HM39" s="137" t="str">
        <f t="shared" si="39"/>
        <v xml:space="preserve"> </v>
      </c>
      <c r="HN39" s="137" t="str">
        <f t="shared" si="39"/>
        <v xml:space="preserve"> </v>
      </c>
      <c r="HO39" s="137">
        <f t="shared" si="39"/>
        <v>0.58992078206640819</v>
      </c>
      <c r="HP39" s="137" t="str">
        <f t="shared" si="39"/>
        <v xml:space="preserve"> </v>
      </c>
      <c r="HQ39" s="137" t="str">
        <f t="shared" si="39"/>
        <v xml:space="preserve"> </v>
      </c>
      <c r="HR39" s="137" t="str">
        <f t="shared" si="39"/>
        <v xml:space="preserve"> </v>
      </c>
      <c r="HS39" s="137" t="str">
        <f t="shared" si="39"/>
        <v xml:space="preserve"> </v>
      </c>
      <c r="HT39" s="137" t="str">
        <f t="shared" si="39"/>
        <v xml:space="preserve"> </v>
      </c>
      <c r="HU39" s="137" t="str">
        <f t="shared" si="39"/>
        <v xml:space="preserve"> </v>
      </c>
      <c r="HV39" s="137" t="str">
        <f t="shared" si="39"/>
        <v xml:space="preserve"> </v>
      </c>
      <c r="HW39" s="137" t="str">
        <f t="shared" si="39"/>
        <v xml:space="preserve"> </v>
      </c>
      <c r="HX39" s="137" t="str">
        <f t="shared" si="39"/>
        <v xml:space="preserve"> </v>
      </c>
      <c r="HY39" s="137" t="str">
        <f t="shared" si="39"/>
        <v xml:space="preserve"> </v>
      </c>
      <c r="HZ39" s="137" t="str">
        <f t="shared" si="39"/>
        <v xml:space="preserve"> </v>
      </c>
      <c r="IA39" s="137" t="str">
        <f t="shared" si="39"/>
        <v xml:space="preserve"> </v>
      </c>
      <c r="IB39" s="137" t="str">
        <f t="shared" si="39"/>
        <v xml:space="preserve"> </v>
      </c>
      <c r="IC39" s="137">
        <f t="shared" si="39"/>
        <v>0.67894193688555748</v>
      </c>
      <c r="ID39" s="137" t="str">
        <f t="shared" si="39"/>
        <v xml:space="preserve"> </v>
      </c>
      <c r="IE39" s="137" t="str">
        <f t="shared" si="39"/>
        <v xml:space="preserve"> </v>
      </c>
      <c r="IF39" s="137" t="str">
        <f t="shared" si="39"/>
        <v xml:space="preserve"> </v>
      </c>
      <c r="IG39" s="137" t="str">
        <f t="shared" si="39"/>
        <v xml:space="preserve"> </v>
      </c>
      <c r="IH39" s="137" t="str">
        <f t="shared" si="39"/>
        <v xml:space="preserve"> </v>
      </c>
      <c r="II39" s="137" t="str">
        <f t="shared" si="39"/>
        <v xml:space="preserve"> </v>
      </c>
      <c r="IJ39" s="137" t="str">
        <f t="shared" si="39"/>
        <v xml:space="preserve"> </v>
      </c>
      <c r="IK39" s="137" t="str">
        <f t="shared" si="39"/>
        <v xml:space="preserve"> </v>
      </c>
      <c r="IL39" s="137" t="str">
        <f t="shared" si="39"/>
        <v xml:space="preserve"> </v>
      </c>
      <c r="IM39" s="137" t="str">
        <f t="shared" si="39"/>
        <v xml:space="preserve"> </v>
      </c>
      <c r="IN39" s="137" t="str">
        <f t="shared" si="39"/>
        <v xml:space="preserve"> </v>
      </c>
      <c r="IO39" s="137" t="str">
        <f t="shared" si="39"/>
        <v xml:space="preserve"> </v>
      </c>
      <c r="IP39" s="137" t="str">
        <f t="shared" si="39"/>
        <v xml:space="preserve"> </v>
      </c>
      <c r="IQ39" s="137" t="str">
        <f t="shared" si="39"/>
        <v xml:space="preserve"> </v>
      </c>
      <c r="IR39" s="137">
        <f t="shared" si="39"/>
        <v>0.71814529164549934</v>
      </c>
      <c r="IS39" s="137" t="str">
        <f t="shared" si="39"/>
        <v xml:space="preserve"> </v>
      </c>
      <c r="IT39" s="137" t="str">
        <f t="shared" si="39"/>
        <v xml:space="preserve"> </v>
      </c>
      <c r="IU39" s="137" t="str">
        <f t="shared" si="39"/>
        <v xml:space="preserve"> </v>
      </c>
      <c r="IV39" s="137" t="str">
        <f t="shared" si="39"/>
        <v xml:space="preserve"> </v>
      </c>
      <c r="IW39" s="137" t="str">
        <f t="shared" si="39"/>
        <v xml:space="preserve"> </v>
      </c>
      <c r="IX39" s="137" t="str">
        <f t="shared" si="39"/>
        <v xml:space="preserve"> </v>
      </c>
      <c r="IY39" s="137" t="str">
        <f t="shared" si="39"/>
        <v xml:space="preserve"> </v>
      </c>
      <c r="IZ39" s="137" t="str">
        <f t="shared" si="39"/>
        <v xml:space="preserve"> </v>
      </c>
      <c r="JA39" s="137" t="str">
        <f t="shared" si="39"/>
        <v xml:space="preserve"> </v>
      </c>
      <c r="JB39" s="137" t="str">
        <f t="shared" si="39"/>
        <v xml:space="preserve"> </v>
      </c>
      <c r="JC39" s="137" t="str">
        <f t="shared" si="39"/>
        <v xml:space="preserve"> </v>
      </c>
      <c r="JD39" s="137">
        <f t="shared" si="39"/>
        <v>0.57133529219719226</v>
      </c>
      <c r="JE39" s="137" t="str">
        <f t="shared" si="39"/>
        <v xml:space="preserve"> </v>
      </c>
      <c r="JF39" s="137" t="str">
        <f t="shared" ref="JF39:LQ39" si="40">IF(SUM(JF21:JF22)=0," ",(JF21+JF22)/(JF23+(JF24*0.34)))</f>
        <v xml:space="preserve"> </v>
      </c>
      <c r="JG39" s="137" t="str">
        <f t="shared" si="40"/>
        <v xml:space="preserve"> </v>
      </c>
      <c r="JH39" s="137" t="str">
        <f t="shared" si="40"/>
        <v xml:space="preserve"> </v>
      </c>
      <c r="JI39" s="137" t="str">
        <f t="shared" si="40"/>
        <v xml:space="preserve"> </v>
      </c>
      <c r="JJ39" s="137" t="str">
        <f t="shared" si="40"/>
        <v xml:space="preserve"> </v>
      </c>
      <c r="JK39" s="137" t="str">
        <f t="shared" si="40"/>
        <v xml:space="preserve"> </v>
      </c>
      <c r="JL39" s="137" t="str">
        <f t="shared" si="40"/>
        <v xml:space="preserve"> </v>
      </c>
      <c r="JM39" s="137" t="str">
        <f t="shared" si="40"/>
        <v xml:space="preserve"> </v>
      </c>
      <c r="JN39" s="137" t="str">
        <f t="shared" si="40"/>
        <v xml:space="preserve"> </v>
      </c>
      <c r="JO39" s="137" t="str">
        <f t="shared" si="40"/>
        <v xml:space="preserve"> </v>
      </c>
      <c r="JP39" s="137" t="str">
        <f t="shared" si="40"/>
        <v xml:space="preserve"> </v>
      </c>
      <c r="JQ39" s="137" t="str">
        <f t="shared" si="40"/>
        <v xml:space="preserve"> </v>
      </c>
      <c r="JR39" s="137" t="str">
        <f t="shared" si="40"/>
        <v xml:space="preserve"> </v>
      </c>
      <c r="JS39" s="137" t="str">
        <f t="shared" si="40"/>
        <v xml:space="preserve"> </v>
      </c>
      <c r="JT39" s="137">
        <f t="shared" si="40"/>
        <v>0.60816260687207602</v>
      </c>
      <c r="JU39" s="137" t="str">
        <f t="shared" si="40"/>
        <v xml:space="preserve"> </v>
      </c>
      <c r="JV39" s="137" t="str">
        <f t="shared" si="40"/>
        <v xml:space="preserve"> </v>
      </c>
      <c r="JW39" s="137" t="str">
        <f t="shared" si="40"/>
        <v xml:space="preserve"> </v>
      </c>
      <c r="JX39" s="137" t="str">
        <f t="shared" si="40"/>
        <v xml:space="preserve"> </v>
      </c>
      <c r="JY39" s="137" t="str">
        <f t="shared" si="40"/>
        <v xml:space="preserve"> </v>
      </c>
      <c r="JZ39" s="137" t="str">
        <f t="shared" si="40"/>
        <v xml:space="preserve"> </v>
      </c>
      <c r="KA39" s="137" t="str">
        <f t="shared" si="40"/>
        <v xml:space="preserve"> </v>
      </c>
      <c r="KB39" s="137" t="str">
        <f t="shared" si="40"/>
        <v xml:space="preserve"> </v>
      </c>
      <c r="KC39" s="137" t="str">
        <f t="shared" si="40"/>
        <v xml:space="preserve"> </v>
      </c>
      <c r="KD39" s="137" t="str">
        <f t="shared" si="40"/>
        <v xml:space="preserve"> </v>
      </c>
      <c r="KE39" s="137" t="str">
        <f t="shared" si="40"/>
        <v xml:space="preserve"> </v>
      </c>
      <c r="KF39" s="137" t="str">
        <f t="shared" si="40"/>
        <v xml:space="preserve"> </v>
      </c>
      <c r="KG39" s="137" t="str">
        <f t="shared" si="40"/>
        <v xml:space="preserve"> </v>
      </c>
      <c r="KH39" s="137" t="str">
        <f t="shared" si="40"/>
        <v xml:space="preserve"> </v>
      </c>
      <c r="KI39" s="137" t="str">
        <f t="shared" si="40"/>
        <v xml:space="preserve"> </v>
      </c>
      <c r="KJ39" s="137" t="str">
        <f t="shared" si="40"/>
        <v xml:space="preserve"> </v>
      </c>
      <c r="KK39" s="137" t="str">
        <f t="shared" si="40"/>
        <v xml:space="preserve"> </v>
      </c>
      <c r="KL39" s="137" t="str">
        <f t="shared" si="40"/>
        <v xml:space="preserve"> </v>
      </c>
      <c r="KM39" s="137" t="str">
        <f t="shared" si="40"/>
        <v xml:space="preserve"> </v>
      </c>
      <c r="KN39" s="137">
        <f t="shared" si="40"/>
        <v>0.66176470588235281</v>
      </c>
      <c r="KO39" s="137" t="str">
        <f t="shared" si="40"/>
        <v xml:space="preserve"> </v>
      </c>
      <c r="KP39" s="137" t="str">
        <f t="shared" si="40"/>
        <v xml:space="preserve"> </v>
      </c>
      <c r="KQ39" s="137" t="str">
        <f t="shared" si="40"/>
        <v xml:space="preserve"> </v>
      </c>
      <c r="KR39" s="137" t="str">
        <f t="shared" si="40"/>
        <v xml:space="preserve"> </v>
      </c>
      <c r="KS39" s="137" t="str">
        <f t="shared" si="40"/>
        <v xml:space="preserve"> </v>
      </c>
      <c r="KT39" s="137" t="str">
        <f t="shared" si="40"/>
        <v xml:space="preserve"> </v>
      </c>
      <c r="KU39" s="137" t="str">
        <f t="shared" si="40"/>
        <v xml:space="preserve"> </v>
      </c>
      <c r="KV39" s="137" t="str">
        <f t="shared" si="40"/>
        <v xml:space="preserve"> </v>
      </c>
      <c r="KW39" s="137" t="str">
        <f t="shared" si="40"/>
        <v xml:space="preserve"> </v>
      </c>
      <c r="KX39" s="137" t="str">
        <f t="shared" si="40"/>
        <v xml:space="preserve"> </v>
      </c>
      <c r="KY39" s="137" t="str">
        <f t="shared" si="40"/>
        <v xml:space="preserve"> </v>
      </c>
      <c r="KZ39" s="137" t="str">
        <f t="shared" si="40"/>
        <v xml:space="preserve"> </v>
      </c>
      <c r="LA39" s="137" t="str">
        <f t="shared" si="40"/>
        <v xml:space="preserve"> </v>
      </c>
      <c r="LB39" s="137" t="str">
        <f t="shared" si="40"/>
        <v xml:space="preserve"> </v>
      </c>
      <c r="LC39" s="137" t="str">
        <f t="shared" si="40"/>
        <v xml:space="preserve"> </v>
      </c>
      <c r="LD39" s="137" t="str">
        <f t="shared" si="40"/>
        <v xml:space="preserve"> </v>
      </c>
      <c r="LE39" s="137" t="str">
        <f t="shared" si="40"/>
        <v xml:space="preserve"> </v>
      </c>
      <c r="LF39" s="137" t="str">
        <f t="shared" si="40"/>
        <v xml:space="preserve"> </v>
      </c>
      <c r="LG39" s="137" t="str">
        <f t="shared" si="40"/>
        <v xml:space="preserve"> </v>
      </c>
      <c r="LH39" s="137" t="str">
        <f t="shared" si="40"/>
        <v xml:space="preserve"> </v>
      </c>
      <c r="LI39" s="137">
        <f t="shared" si="40"/>
        <v>0.65359477124182996</v>
      </c>
      <c r="LJ39" s="137" t="str">
        <f t="shared" si="40"/>
        <v xml:space="preserve"> </v>
      </c>
      <c r="LK39" s="137" t="str">
        <f t="shared" si="40"/>
        <v xml:space="preserve"> </v>
      </c>
      <c r="LL39" s="137" t="str">
        <f t="shared" si="40"/>
        <v xml:space="preserve"> </v>
      </c>
      <c r="LM39" s="137" t="str">
        <f t="shared" si="40"/>
        <v xml:space="preserve"> </v>
      </c>
      <c r="LN39" s="137" t="str">
        <f t="shared" si="40"/>
        <v xml:space="preserve"> </v>
      </c>
      <c r="LO39" s="137" t="str">
        <f t="shared" si="40"/>
        <v xml:space="preserve"> </v>
      </c>
      <c r="LP39" s="137" t="str">
        <f t="shared" si="40"/>
        <v xml:space="preserve"> </v>
      </c>
      <c r="LQ39" s="137" t="str">
        <f t="shared" si="40"/>
        <v xml:space="preserve"> </v>
      </c>
      <c r="LR39" s="137" t="str">
        <f t="shared" ref="LR39:NF39" si="41">IF(SUM(LR21:LR22)=0," ",(LR21+LR22)/(LR23+(LR24*0.34)))</f>
        <v xml:space="preserve"> </v>
      </c>
      <c r="LS39" s="137" t="str">
        <f t="shared" si="41"/>
        <v xml:space="preserve"> </v>
      </c>
      <c r="LT39" s="137" t="str">
        <f t="shared" si="41"/>
        <v xml:space="preserve"> </v>
      </c>
      <c r="LU39" s="137" t="str">
        <f t="shared" si="41"/>
        <v xml:space="preserve"> </v>
      </c>
      <c r="LV39" s="137" t="str">
        <f t="shared" si="41"/>
        <v xml:space="preserve"> </v>
      </c>
      <c r="LW39" s="137" t="str">
        <f t="shared" si="41"/>
        <v xml:space="preserve"> </v>
      </c>
      <c r="LX39" s="137" t="str">
        <f t="shared" si="41"/>
        <v xml:space="preserve"> </v>
      </c>
      <c r="LY39" s="137" t="str">
        <f t="shared" si="41"/>
        <v xml:space="preserve"> </v>
      </c>
      <c r="LZ39" s="137" t="str">
        <f t="shared" si="41"/>
        <v xml:space="preserve"> </v>
      </c>
      <c r="MA39" s="137" t="str">
        <f t="shared" si="41"/>
        <v xml:space="preserve"> </v>
      </c>
      <c r="MB39" s="137" t="str">
        <f t="shared" si="41"/>
        <v xml:space="preserve"> </v>
      </c>
      <c r="MC39" s="137" t="str">
        <f t="shared" si="41"/>
        <v xml:space="preserve"> </v>
      </c>
      <c r="MD39" s="137" t="str">
        <f t="shared" si="41"/>
        <v xml:space="preserve"> </v>
      </c>
      <c r="ME39" s="137">
        <f t="shared" si="41"/>
        <v>0.67069081153588195</v>
      </c>
      <c r="MF39" s="137" t="str">
        <f t="shared" si="41"/>
        <v xml:space="preserve"> </v>
      </c>
      <c r="MG39" s="137" t="str">
        <f t="shared" si="41"/>
        <v xml:space="preserve"> </v>
      </c>
      <c r="MH39" s="137" t="str">
        <f t="shared" si="41"/>
        <v xml:space="preserve"> </v>
      </c>
      <c r="MI39" s="137" t="str">
        <f t="shared" si="41"/>
        <v xml:space="preserve"> </v>
      </c>
      <c r="MJ39" s="137" t="str">
        <f t="shared" si="41"/>
        <v xml:space="preserve"> </v>
      </c>
      <c r="MK39" s="137" t="str">
        <f t="shared" si="41"/>
        <v xml:space="preserve"> </v>
      </c>
      <c r="ML39" s="137" t="str">
        <f t="shared" si="41"/>
        <v xml:space="preserve"> </v>
      </c>
      <c r="MM39" s="137" t="str">
        <f t="shared" si="41"/>
        <v xml:space="preserve"> </v>
      </c>
      <c r="MN39" s="137" t="str">
        <f t="shared" si="41"/>
        <v xml:space="preserve"> </v>
      </c>
      <c r="MO39" s="137" t="str">
        <f t="shared" si="41"/>
        <v xml:space="preserve"> </v>
      </c>
      <c r="MP39" s="137" t="str">
        <f t="shared" si="41"/>
        <v xml:space="preserve"> </v>
      </c>
      <c r="MQ39" s="137" t="str">
        <f t="shared" si="41"/>
        <v xml:space="preserve"> </v>
      </c>
      <c r="MR39" s="137" t="str">
        <f t="shared" si="41"/>
        <v xml:space="preserve"> </v>
      </c>
      <c r="MS39" s="137" t="str">
        <f t="shared" si="41"/>
        <v xml:space="preserve"> </v>
      </c>
      <c r="MT39" s="137" t="str">
        <f t="shared" si="41"/>
        <v xml:space="preserve"> </v>
      </c>
      <c r="MU39" s="137" t="str">
        <f t="shared" si="41"/>
        <v xml:space="preserve"> </v>
      </c>
      <c r="MV39" s="137">
        <f t="shared" si="41"/>
        <v>0.89126559714795006</v>
      </c>
      <c r="MW39" s="137" t="str">
        <f t="shared" si="41"/>
        <v xml:space="preserve"> </v>
      </c>
      <c r="MX39" s="137" t="str">
        <f t="shared" si="41"/>
        <v xml:space="preserve"> </v>
      </c>
      <c r="MY39" s="137" t="str">
        <f t="shared" si="41"/>
        <v xml:space="preserve"> </v>
      </c>
      <c r="MZ39" s="137" t="str">
        <f t="shared" si="41"/>
        <v xml:space="preserve"> </v>
      </c>
      <c r="NA39" s="137" t="str">
        <f t="shared" si="41"/>
        <v xml:space="preserve"> </v>
      </c>
      <c r="NB39" s="137" t="str">
        <f t="shared" si="41"/>
        <v xml:space="preserve"> </v>
      </c>
      <c r="NC39" s="137" t="str">
        <f t="shared" si="41"/>
        <v xml:space="preserve"> </v>
      </c>
      <c r="ND39" s="137">
        <f t="shared" si="41"/>
        <v>0.58544303797468356</v>
      </c>
      <c r="NE39" s="137">
        <f t="shared" si="41"/>
        <v>0.65304919964646957</v>
      </c>
      <c r="NF39" s="137" t="str">
        <f t="shared" si="41"/>
        <v xml:space="preserve"> </v>
      </c>
      <c r="NG39" s="137" t="str">
        <f t="shared" ref="NG39:NI39" si="42">IF(SUM(NG21:NG22)=0," ",(NG21+NG22)/(NG23+(NG24*0.34)))</f>
        <v xml:space="preserve"> </v>
      </c>
      <c r="NH39" s="137" t="str">
        <f t="shared" si="42"/>
        <v xml:space="preserve"> </v>
      </c>
      <c r="NI39" s="137" t="str">
        <f t="shared" si="42"/>
        <v xml:space="preserve"> </v>
      </c>
    </row>
    <row r="40" spans="1:373" ht="16" thickBot="1" x14ac:dyDescent="0.25">
      <c r="A40" s="15" t="s">
        <v>28</v>
      </c>
      <c r="B40" s="138" t="str">
        <f t="shared" ref="B40:I40" si="43">IF(SUM(B27:B28)=0," ",(B27+B28)/B29)</f>
        <v xml:space="preserve"> </v>
      </c>
      <c r="C40" s="138" t="str">
        <f t="shared" si="43"/>
        <v xml:space="preserve"> </v>
      </c>
      <c r="D40" s="138" t="str">
        <f t="shared" si="43"/>
        <v xml:space="preserve"> </v>
      </c>
      <c r="E40" s="138" t="str">
        <f t="shared" si="43"/>
        <v xml:space="preserve"> </v>
      </c>
      <c r="F40" s="138" t="str">
        <f t="shared" si="43"/>
        <v xml:space="preserve"> </v>
      </c>
      <c r="G40" s="138" t="str">
        <f t="shared" si="43"/>
        <v xml:space="preserve"> </v>
      </c>
      <c r="H40" s="138" t="str">
        <f t="shared" si="43"/>
        <v xml:space="preserve"> </v>
      </c>
      <c r="I40" s="138" t="str">
        <f t="shared" si="43"/>
        <v xml:space="preserve"> </v>
      </c>
      <c r="J40" s="138" t="str">
        <f t="shared" ref="J40:BU40" si="44">IF(SUM(J27:J28)=0," ",(J27+J28)/J29)</f>
        <v xml:space="preserve"> </v>
      </c>
      <c r="K40" s="138" t="str">
        <f t="shared" si="44"/>
        <v xml:space="preserve"> </v>
      </c>
      <c r="L40" s="138" t="str">
        <f t="shared" si="44"/>
        <v xml:space="preserve"> </v>
      </c>
      <c r="M40" s="138" t="str">
        <f t="shared" si="44"/>
        <v xml:space="preserve"> </v>
      </c>
      <c r="N40" s="138" t="str">
        <f t="shared" si="44"/>
        <v xml:space="preserve"> </v>
      </c>
      <c r="O40" s="138" t="str">
        <f t="shared" si="44"/>
        <v xml:space="preserve"> </v>
      </c>
      <c r="P40" s="138" t="str">
        <f t="shared" si="44"/>
        <v xml:space="preserve"> </v>
      </c>
      <c r="Q40" s="138" t="str">
        <f t="shared" si="44"/>
        <v xml:space="preserve"> </v>
      </c>
      <c r="R40" s="138" t="str">
        <f t="shared" si="44"/>
        <v xml:space="preserve"> </v>
      </c>
      <c r="S40" s="138" t="str">
        <f t="shared" si="44"/>
        <v xml:space="preserve"> </v>
      </c>
      <c r="T40" s="138" t="str">
        <f t="shared" si="44"/>
        <v xml:space="preserve"> </v>
      </c>
      <c r="U40" s="138" t="str">
        <f t="shared" si="44"/>
        <v xml:space="preserve"> </v>
      </c>
      <c r="V40" s="138" t="str">
        <f t="shared" si="44"/>
        <v xml:space="preserve"> </v>
      </c>
      <c r="W40" s="138" t="str">
        <f t="shared" si="44"/>
        <v xml:space="preserve"> </v>
      </c>
      <c r="X40" s="138" t="str">
        <f t="shared" si="44"/>
        <v xml:space="preserve"> </v>
      </c>
      <c r="Y40" s="138" t="str">
        <f t="shared" si="44"/>
        <v xml:space="preserve"> </v>
      </c>
      <c r="Z40" s="138" t="str">
        <f t="shared" si="44"/>
        <v xml:space="preserve"> </v>
      </c>
      <c r="AA40" s="138" t="str">
        <f t="shared" si="44"/>
        <v xml:space="preserve"> </v>
      </c>
      <c r="AB40" s="138" t="str">
        <f t="shared" si="44"/>
        <v xml:space="preserve"> </v>
      </c>
      <c r="AC40" s="138" t="str">
        <f t="shared" si="44"/>
        <v xml:space="preserve"> </v>
      </c>
      <c r="AD40" s="138" t="str">
        <f t="shared" si="44"/>
        <v xml:space="preserve"> </v>
      </c>
      <c r="AE40" s="138" t="str">
        <f t="shared" si="44"/>
        <v xml:space="preserve"> </v>
      </c>
      <c r="AF40" s="138" t="str">
        <f t="shared" si="44"/>
        <v xml:space="preserve"> </v>
      </c>
      <c r="AG40" s="138" t="str">
        <f t="shared" si="44"/>
        <v xml:space="preserve"> </v>
      </c>
      <c r="AH40" s="138" t="str">
        <f t="shared" si="44"/>
        <v xml:space="preserve"> </v>
      </c>
      <c r="AI40" s="138" t="str">
        <f t="shared" si="44"/>
        <v xml:space="preserve"> </v>
      </c>
      <c r="AJ40" s="138" t="str">
        <f t="shared" si="44"/>
        <v xml:space="preserve"> </v>
      </c>
      <c r="AK40" s="138" t="str">
        <f t="shared" si="44"/>
        <v xml:space="preserve"> </v>
      </c>
      <c r="AL40" s="138" t="str">
        <f t="shared" si="44"/>
        <v xml:space="preserve"> </v>
      </c>
      <c r="AM40" s="138" t="str">
        <f t="shared" si="44"/>
        <v xml:space="preserve"> </v>
      </c>
      <c r="AN40" s="138" t="str">
        <f t="shared" si="44"/>
        <v xml:space="preserve"> </v>
      </c>
      <c r="AO40" s="138" t="str">
        <f t="shared" si="44"/>
        <v xml:space="preserve"> </v>
      </c>
      <c r="AP40" s="138" t="str">
        <f t="shared" si="44"/>
        <v xml:space="preserve"> </v>
      </c>
      <c r="AQ40" s="138" t="str">
        <f t="shared" si="44"/>
        <v xml:space="preserve"> </v>
      </c>
      <c r="AR40" s="138" t="str">
        <f t="shared" si="44"/>
        <v xml:space="preserve"> </v>
      </c>
      <c r="AS40" s="138" t="str">
        <f t="shared" si="44"/>
        <v xml:space="preserve"> </v>
      </c>
      <c r="AT40" s="138" t="str">
        <f t="shared" si="44"/>
        <v xml:space="preserve"> </v>
      </c>
      <c r="AU40" s="138" t="str">
        <f t="shared" si="44"/>
        <v xml:space="preserve"> </v>
      </c>
      <c r="AV40" s="138" t="str">
        <f t="shared" si="44"/>
        <v xml:space="preserve"> </v>
      </c>
      <c r="AW40" s="138" t="str">
        <f t="shared" si="44"/>
        <v xml:space="preserve"> </v>
      </c>
      <c r="AX40" s="138" t="str">
        <f t="shared" si="44"/>
        <v xml:space="preserve"> </v>
      </c>
      <c r="AY40" s="138" t="str">
        <f t="shared" si="44"/>
        <v xml:space="preserve"> </v>
      </c>
      <c r="AZ40" s="138" t="str">
        <f t="shared" si="44"/>
        <v xml:space="preserve"> </v>
      </c>
      <c r="BA40" s="138" t="str">
        <f t="shared" si="44"/>
        <v xml:space="preserve"> </v>
      </c>
      <c r="BB40" s="138" t="str">
        <f t="shared" si="44"/>
        <v xml:space="preserve"> </v>
      </c>
      <c r="BC40" s="138" t="str">
        <f t="shared" si="44"/>
        <v xml:space="preserve"> </v>
      </c>
      <c r="BD40" s="138" t="str">
        <f t="shared" si="44"/>
        <v xml:space="preserve"> </v>
      </c>
      <c r="BE40" s="138" t="str">
        <f t="shared" si="44"/>
        <v xml:space="preserve"> </v>
      </c>
      <c r="BF40" s="138" t="str">
        <f t="shared" si="44"/>
        <v xml:space="preserve"> </v>
      </c>
      <c r="BG40" s="138" t="str">
        <f t="shared" si="44"/>
        <v xml:space="preserve"> </v>
      </c>
      <c r="BH40" s="138" t="str">
        <f t="shared" si="44"/>
        <v xml:space="preserve"> </v>
      </c>
      <c r="BI40" s="138" t="str">
        <f t="shared" si="44"/>
        <v xml:space="preserve"> </v>
      </c>
      <c r="BJ40" s="138" t="str">
        <f t="shared" si="44"/>
        <v xml:space="preserve"> </v>
      </c>
      <c r="BK40" s="138" t="str">
        <f t="shared" si="44"/>
        <v xml:space="preserve"> </v>
      </c>
      <c r="BL40" s="138" t="str">
        <f t="shared" si="44"/>
        <v xml:space="preserve"> </v>
      </c>
      <c r="BM40" s="138" t="str">
        <f t="shared" si="44"/>
        <v xml:space="preserve"> </v>
      </c>
      <c r="BN40" s="138" t="str">
        <f t="shared" si="44"/>
        <v xml:space="preserve"> </v>
      </c>
      <c r="BO40" s="138" t="str">
        <f t="shared" si="44"/>
        <v xml:space="preserve"> </v>
      </c>
      <c r="BP40" s="138" t="str">
        <f t="shared" si="44"/>
        <v xml:space="preserve"> </v>
      </c>
      <c r="BQ40" s="138" t="str">
        <f t="shared" si="44"/>
        <v xml:space="preserve"> </v>
      </c>
      <c r="BR40" s="138" t="str">
        <f t="shared" si="44"/>
        <v xml:space="preserve"> </v>
      </c>
      <c r="BS40" s="138" t="str">
        <f t="shared" si="44"/>
        <v xml:space="preserve"> </v>
      </c>
      <c r="BT40" s="138" t="str">
        <f t="shared" si="44"/>
        <v xml:space="preserve"> </v>
      </c>
      <c r="BU40" s="138" t="str">
        <f t="shared" si="44"/>
        <v xml:space="preserve"> </v>
      </c>
      <c r="BV40" s="138" t="str">
        <f t="shared" ref="BV40:EG40" si="45">IF(SUM(BV27:BV28)=0," ",(BV27+BV28)/BV29)</f>
        <v xml:space="preserve"> </v>
      </c>
      <c r="BW40" s="138" t="str">
        <f t="shared" si="45"/>
        <v xml:space="preserve"> </v>
      </c>
      <c r="BX40" s="138" t="str">
        <f t="shared" si="45"/>
        <v xml:space="preserve"> </v>
      </c>
      <c r="BY40" s="138" t="str">
        <f t="shared" si="45"/>
        <v xml:space="preserve"> </v>
      </c>
      <c r="BZ40" s="138" t="str">
        <f t="shared" si="45"/>
        <v xml:space="preserve"> </v>
      </c>
      <c r="CA40" s="138" t="str">
        <f t="shared" si="45"/>
        <v xml:space="preserve"> </v>
      </c>
      <c r="CB40" s="138" t="str">
        <f t="shared" si="45"/>
        <v xml:space="preserve"> </v>
      </c>
      <c r="CC40" s="138" t="str">
        <f t="shared" si="45"/>
        <v xml:space="preserve"> </v>
      </c>
      <c r="CD40" s="138" t="str">
        <f t="shared" si="45"/>
        <v xml:space="preserve"> </v>
      </c>
      <c r="CE40" s="138" t="str">
        <f t="shared" si="45"/>
        <v xml:space="preserve"> </v>
      </c>
      <c r="CF40" s="138" t="str">
        <f t="shared" si="45"/>
        <v xml:space="preserve"> </v>
      </c>
      <c r="CG40" s="138" t="str">
        <f t="shared" si="45"/>
        <v xml:space="preserve"> </v>
      </c>
      <c r="CH40" s="138" t="str">
        <f t="shared" si="45"/>
        <v xml:space="preserve"> </v>
      </c>
      <c r="CI40" s="138" t="str">
        <f t="shared" si="45"/>
        <v xml:space="preserve"> </v>
      </c>
      <c r="CJ40" s="138" t="str">
        <f t="shared" si="45"/>
        <v xml:space="preserve"> </v>
      </c>
      <c r="CK40" s="138" t="str">
        <f t="shared" si="45"/>
        <v xml:space="preserve"> </v>
      </c>
      <c r="CL40" s="138" t="str">
        <f t="shared" si="45"/>
        <v xml:space="preserve"> </v>
      </c>
      <c r="CM40" s="138" t="str">
        <f t="shared" si="45"/>
        <v xml:space="preserve"> </v>
      </c>
      <c r="CN40" s="138" t="str">
        <f t="shared" si="45"/>
        <v xml:space="preserve"> </v>
      </c>
      <c r="CO40" s="138" t="str">
        <f t="shared" si="45"/>
        <v xml:space="preserve"> </v>
      </c>
      <c r="CP40" s="138" t="str">
        <f t="shared" si="45"/>
        <v xml:space="preserve"> </v>
      </c>
      <c r="CQ40" s="138" t="str">
        <f t="shared" si="45"/>
        <v xml:space="preserve"> </v>
      </c>
      <c r="CR40" s="138" t="str">
        <f t="shared" si="45"/>
        <v xml:space="preserve"> </v>
      </c>
      <c r="CS40" s="138" t="str">
        <f t="shared" si="45"/>
        <v xml:space="preserve"> </v>
      </c>
      <c r="CT40" s="138" t="str">
        <f t="shared" si="45"/>
        <v xml:space="preserve"> </v>
      </c>
      <c r="CU40" s="138" t="str">
        <f t="shared" si="45"/>
        <v xml:space="preserve"> </v>
      </c>
      <c r="CV40" s="138" t="str">
        <f t="shared" si="45"/>
        <v xml:space="preserve"> </v>
      </c>
      <c r="CW40" s="138" t="str">
        <f t="shared" si="45"/>
        <v xml:space="preserve"> </v>
      </c>
      <c r="CX40" s="138" t="str">
        <f t="shared" si="45"/>
        <v xml:space="preserve"> </v>
      </c>
      <c r="CY40" s="138" t="str">
        <f t="shared" si="45"/>
        <v xml:space="preserve"> </v>
      </c>
      <c r="CZ40" s="138" t="str">
        <f t="shared" si="45"/>
        <v xml:space="preserve"> </v>
      </c>
      <c r="DA40" s="138" t="str">
        <f t="shared" si="45"/>
        <v xml:space="preserve"> </v>
      </c>
      <c r="DB40" s="138" t="str">
        <f t="shared" si="45"/>
        <v xml:space="preserve"> </v>
      </c>
      <c r="DC40" s="138" t="str">
        <f t="shared" si="45"/>
        <v xml:space="preserve"> </v>
      </c>
      <c r="DD40" s="138" t="str">
        <f t="shared" si="45"/>
        <v xml:space="preserve"> </v>
      </c>
      <c r="DE40" s="138" t="str">
        <f t="shared" si="45"/>
        <v xml:space="preserve"> </v>
      </c>
      <c r="DF40" s="138" t="str">
        <f t="shared" si="45"/>
        <v xml:space="preserve"> </v>
      </c>
      <c r="DG40" s="138" t="str">
        <f t="shared" si="45"/>
        <v xml:space="preserve"> </v>
      </c>
      <c r="DH40" s="138" t="str">
        <f t="shared" si="45"/>
        <v xml:space="preserve"> </v>
      </c>
      <c r="DI40" s="138" t="str">
        <f t="shared" si="45"/>
        <v xml:space="preserve"> </v>
      </c>
      <c r="DJ40" s="138" t="str">
        <f t="shared" si="45"/>
        <v xml:space="preserve"> </v>
      </c>
      <c r="DK40" s="138" t="str">
        <f t="shared" si="45"/>
        <v xml:space="preserve"> </v>
      </c>
      <c r="DL40" s="138" t="str">
        <f t="shared" si="45"/>
        <v xml:space="preserve"> </v>
      </c>
      <c r="DM40" s="138" t="str">
        <f t="shared" si="45"/>
        <v xml:space="preserve"> </v>
      </c>
      <c r="DN40" s="138" t="str">
        <f t="shared" si="45"/>
        <v xml:space="preserve"> </v>
      </c>
      <c r="DO40" s="138" t="str">
        <f t="shared" si="45"/>
        <v xml:space="preserve"> </v>
      </c>
      <c r="DP40" s="138" t="str">
        <f t="shared" si="45"/>
        <v xml:space="preserve"> </v>
      </c>
      <c r="DQ40" s="138" t="str">
        <f t="shared" si="45"/>
        <v xml:space="preserve"> </v>
      </c>
      <c r="DR40" s="138" t="str">
        <f t="shared" si="45"/>
        <v xml:space="preserve"> </v>
      </c>
      <c r="DS40" s="138" t="str">
        <f t="shared" si="45"/>
        <v xml:space="preserve"> </v>
      </c>
      <c r="DT40" s="138" t="str">
        <f t="shared" si="45"/>
        <v xml:space="preserve"> </v>
      </c>
      <c r="DU40" s="138" t="str">
        <f t="shared" si="45"/>
        <v xml:space="preserve"> </v>
      </c>
      <c r="DV40" s="138" t="str">
        <f t="shared" si="45"/>
        <v xml:space="preserve"> </v>
      </c>
      <c r="DW40" s="138" t="str">
        <f t="shared" si="45"/>
        <v xml:space="preserve"> </v>
      </c>
      <c r="DX40" s="138" t="str">
        <f t="shared" si="45"/>
        <v xml:space="preserve"> </v>
      </c>
      <c r="DY40" s="138" t="str">
        <f t="shared" si="45"/>
        <v xml:space="preserve"> </v>
      </c>
      <c r="DZ40" s="138" t="str">
        <f t="shared" si="45"/>
        <v xml:space="preserve"> </v>
      </c>
      <c r="EA40" s="138" t="str">
        <f t="shared" si="45"/>
        <v xml:space="preserve"> </v>
      </c>
      <c r="EB40" s="138" t="str">
        <f t="shared" si="45"/>
        <v xml:space="preserve"> </v>
      </c>
      <c r="EC40" s="138" t="str">
        <f t="shared" si="45"/>
        <v xml:space="preserve"> </v>
      </c>
      <c r="ED40" s="138" t="str">
        <f t="shared" si="45"/>
        <v xml:space="preserve"> </v>
      </c>
      <c r="EE40" s="138" t="str">
        <f t="shared" si="45"/>
        <v xml:space="preserve"> </v>
      </c>
      <c r="EF40" s="138" t="str">
        <f t="shared" si="45"/>
        <v xml:space="preserve"> </v>
      </c>
      <c r="EG40" s="138" t="str">
        <f t="shared" si="45"/>
        <v xml:space="preserve"> </v>
      </c>
      <c r="EH40" s="138" t="str">
        <f t="shared" ref="EH40:GS40" si="46">IF(SUM(EH27:EH28)=0," ",(EH27+EH28)/EH29)</f>
        <v xml:space="preserve"> </v>
      </c>
      <c r="EI40" s="138" t="str">
        <f t="shared" si="46"/>
        <v xml:space="preserve"> </v>
      </c>
      <c r="EJ40" s="138" t="str">
        <f t="shared" si="46"/>
        <v xml:space="preserve"> </v>
      </c>
      <c r="EK40" s="138" t="str">
        <f t="shared" si="46"/>
        <v xml:space="preserve"> </v>
      </c>
      <c r="EL40" s="138" t="str">
        <f t="shared" si="46"/>
        <v xml:space="preserve"> </v>
      </c>
      <c r="EM40" s="138" t="str">
        <f t="shared" si="46"/>
        <v xml:space="preserve"> </v>
      </c>
      <c r="EN40" s="138" t="str">
        <f t="shared" si="46"/>
        <v xml:space="preserve"> </v>
      </c>
      <c r="EO40" s="138" t="str">
        <f t="shared" si="46"/>
        <v xml:space="preserve"> </v>
      </c>
      <c r="EP40" s="138" t="str">
        <f t="shared" si="46"/>
        <v xml:space="preserve"> </v>
      </c>
      <c r="EQ40" s="138" t="str">
        <f t="shared" si="46"/>
        <v xml:space="preserve"> </v>
      </c>
      <c r="ER40" s="138" t="str">
        <f t="shared" si="46"/>
        <v xml:space="preserve"> </v>
      </c>
      <c r="ES40" s="138" t="str">
        <f t="shared" si="46"/>
        <v xml:space="preserve"> </v>
      </c>
      <c r="ET40" s="138" t="str">
        <f t="shared" si="46"/>
        <v xml:space="preserve"> </v>
      </c>
      <c r="EU40" s="138" t="str">
        <f t="shared" si="46"/>
        <v xml:space="preserve"> </v>
      </c>
      <c r="EV40" s="138" t="str">
        <f t="shared" si="46"/>
        <v xml:space="preserve"> </v>
      </c>
      <c r="EW40" s="138" t="str">
        <f t="shared" si="46"/>
        <v xml:space="preserve"> </v>
      </c>
      <c r="EX40" s="138" t="str">
        <f t="shared" si="46"/>
        <v xml:space="preserve"> </v>
      </c>
      <c r="EY40" s="138" t="str">
        <f t="shared" si="46"/>
        <v xml:space="preserve"> </v>
      </c>
      <c r="EZ40" s="138" t="str">
        <f t="shared" si="46"/>
        <v xml:space="preserve"> </v>
      </c>
      <c r="FA40" s="138" t="str">
        <f t="shared" si="46"/>
        <v xml:space="preserve"> </v>
      </c>
      <c r="FB40" s="138" t="str">
        <f t="shared" si="46"/>
        <v xml:space="preserve"> </v>
      </c>
      <c r="FC40" s="138" t="str">
        <f t="shared" si="46"/>
        <v xml:space="preserve"> </v>
      </c>
      <c r="FD40" s="138" t="str">
        <f t="shared" si="46"/>
        <v xml:space="preserve"> </v>
      </c>
      <c r="FE40" s="138" t="str">
        <f t="shared" si="46"/>
        <v xml:space="preserve"> </v>
      </c>
      <c r="FF40" s="138" t="str">
        <f t="shared" si="46"/>
        <v xml:space="preserve"> </v>
      </c>
      <c r="FG40" s="138" t="str">
        <f t="shared" si="46"/>
        <v xml:space="preserve"> </v>
      </c>
      <c r="FH40" s="138" t="str">
        <f t="shared" si="46"/>
        <v xml:space="preserve"> </v>
      </c>
      <c r="FI40" s="138" t="str">
        <f t="shared" si="46"/>
        <v xml:space="preserve"> </v>
      </c>
      <c r="FJ40" s="138" t="str">
        <f t="shared" si="46"/>
        <v xml:space="preserve"> </v>
      </c>
      <c r="FK40" s="138" t="str">
        <f t="shared" si="46"/>
        <v xml:space="preserve"> </v>
      </c>
      <c r="FL40" s="138" t="str">
        <f t="shared" si="46"/>
        <v xml:space="preserve"> </v>
      </c>
      <c r="FM40" s="138" t="str">
        <f t="shared" si="46"/>
        <v xml:space="preserve"> </v>
      </c>
      <c r="FN40" s="138" t="str">
        <f t="shared" si="46"/>
        <v xml:space="preserve"> </v>
      </c>
      <c r="FO40" s="138" t="str">
        <f t="shared" si="46"/>
        <v xml:space="preserve"> </v>
      </c>
      <c r="FP40" s="138" t="str">
        <f t="shared" si="46"/>
        <v xml:space="preserve"> </v>
      </c>
      <c r="FQ40" s="138" t="str">
        <f t="shared" si="46"/>
        <v xml:space="preserve"> </v>
      </c>
      <c r="FR40" s="138" t="str">
        <f t="shared" si="46"/>
        <v xml:space="preserve"> </v>
      </c>
      <c r="FS40" s="138" t="str">
        <f t="shared" si="46"/>
        <v xml:space="preserve"> </v>
      </c>
      <c r="FT40" s="138" t="str">
        <f t="shared" si="46"/>
        <v xml:space="preserve"> </v>
      </c>
      <c r="FU40" s="138" t="str">
        <f t="shared" si="46"/>
        <v xml:space="preserve"> </v>
      </c>
      <c r="FV40" s="138" t="str">
        <f t="shared" si="46"/>
        <v xml:space="preserve"> </v>
      </c>
      <c r="FW40" s="138" t="str">
        <f t="shared" si="46"/>
        <v xml:space="preserve"> </v>
      </c>
      <c r="FX40" s="138" t="str">
        <f t="shared" si="46"/>
        <v xml:space="preserve"> </v>
      </c>
      <c r="FY40" s="138" t="str">
        <f t="shared" si="46"/>
        <v xml:space="preserve"> </v>
      </c>
      <c r="FZ40" s="138" t="str">
        <f t="shared" si="46"/>
        <v xml:space="preserve"> </v>
      </c>
      <c r="GA40" s="138" t="str">
        <f t="shared" si="46"/>
        <v xml:space="preserve"> </v>
      </c>
      <c r="GB40" s="138" t="str">
        <f t="shared" si="46"/>
        <v xml:space="preserve"> </v>
      </c>
      <c r="GC40" s="138" t="str">
        <f t="shared" si="46"/>
        <v xml:space="preserve"> </v>
      </c>
      <c r="GD40" s="138" t="str">
        <f t="shared" si="46"/>
        <v xml:space="preserve"> </v>
      </c>
      <c r="GE40" s="138" t="str">
        <f t="shared" si="46"/>
        <v xml:space="preserve"> </v>
      </c>
      <c r="GF40" s="138" t="str">
        <f t="shared" si="46"/>
        <v xml:space="preserve"> </v>
      </c>
      <c r="GG40" s="138" t="str">
        <f t="shared" si="46"/>
        <v xml:space="preserve"> </v>
      </c>
      <c r="GH40" s="138" t="str">
        <f t="shared" si="46"/>
        <v xml:space="preserve"> </v>
      </c>
      <c r="GI40" s="138" t="str">
        <f t="shared" si="46"/>
        <v xml:space="preserve"> </v>
      </c>
      <c r="GJ40" s="138" t="str">
        <f t="shared" si="46"/>
        <v xml:space="preserve"> </v>
      </c>
      <c r="GK40" s="138" t="str">
        <f t="shared" si="46"/>
        <v xml:space="preserve"> </v>
      </c>
      <c r="GL40" s="138" t="str">
        <f t="shared" si="46"/>
        <v xml:space="preserve"> </v>
      </c>
      <c r="GM40" s="138" t="str">
        <f t="shared" si="46"/>
        <v xml:space="preserve"> </v>
      </c>
      <c r="GN40" s="138" t="str">
        <f t="shared" si="46"/>
        <v xml:space="preserve"> </v>
      </c>
      <c r="GO40" s="138" t="str">
        <f t="shared" si="46"/>
        <v xml:space="preserve"> </v>
      </c>
      <c r="GP40" s="138" t="str">
        <f t="shared" si="46"/>
        <v xml:space="preserve"> </v>
      </c>
      <c r="GQ40" s="138" t="str">
        <f t="shared" si="46"/>
        <v xml:space="preserve"> </v>
      </c>
      <c r="GR40" s="138" t="str">
        <f t="shared" si="46"/>
        <v xml:space="preserve"> </v>
      </c>
      <c r="GS40" s="138" t="str">
        <f t="shared" si="46"/>
        <v xml:space="preserve"> </v>
      </c>
      <c r="GT40" s="138" t="str">
        <f t="shared" ref="GT40:JD40" si="47">IF(SUM(GT27:GT28)=0," ",(GT27+GT28)/GT29)</f>
        <v xml:space="preserve"> </v>
      </c>
      <c r="GU40" s="138" t="str">
        <f t="shared" si="47"/>
        <v xml:space="preserve"> </v>
      </c>
      <c r="GV40" s="138" t="str">
        <f t="shared" si="47"/>
        <v xml:space="preserve"> </v>
      </c>
      <c r="GW40" s="138" t="str">
        <f t="shared" si="47"/>
        <v xml:space="preserve"> </v>
      </c>
      <c r="GX40" s="138" t="str">
        <f t="shared" si="47"/>
        <v xml:space="preserve"> </v>
      </c>
      <c r="GY40" s="138" t="str">
        <f t="shared" si="47"/>
        <v xml:space="preserve"> </v>
      </c>
      <c r="GZ40" s="138" t="str">
        <f t="shared" si="47"/>
        <v xml:space="preserve"> </v>
      </c>
      <c r="HA40" s="138" t="str">
        <f t="shared" si="47"/>
        <v xml:space="preserve"> </v>
      </c>
      <c r="HB40" s="138" t="str">
        <f t="shared" si="47"/>
        <v xml:space="preserve"> </v>
      </c>
      <c r="HC40" s="138" t="str">
        <f t="shared" si="47"/>
        <v xml:space="preserve"> </v>
      </c>
      <c r="HD40" s="138" t="str">
        <f t="shared" si="47"/>
        <v xml:space="preserve"> </v>
      </c>
      <c r="HE40" s="138" t="str">
        <f t="shared" si="47"/>
        <v xml:space="preserve"> </v>
      </c>
      <c r="HF40" s="138" t="str">
        <f t="shared" si="47"/>
        <v xml:space="preserve"> </v>
      </c>
      <c r="HG40" s="138" t="str">
        <f t="shared" si="47"/>
        <v xml:space="preserve"> </v>
      </c>
      <c r="HH40" s="138" t="str">
        <f t="shared" si="47"/>
        <v xml:space="preserve"> </v>
      </c>
      <c r="HI40" s="138" t="str">
        <f t="shared" si="47"/>
        <v xml:space="preserve"> </v>
      </c>
      <c r="HJ40" s="138" t="str">
        <f t="shared" si="47"/>
        <v xml:space="preserve"> </v>
      </c>
      <c r="HK40" s="138" t="str">
        <f t="shared" si="47"/>
        <v xml:space="preserve"> </v>
      </c>
      <c r="HL40" s="138" t="str">
        <f t="shared" si="47"/>
        <v xml:space="preserve"> </v>
      </c>
      <c r="HM40" s="138" t="str">
        <f t="shared" si="47"/>
        <v xml:space="preserve"> </v>
      </c>
      <c r="HN40" s="138" t="str">
        <f t="shared" si="47"/>
        <v xml:space="preserve"> </v>
      </c>
      <c r="HO40" s="138" t="str">
        <f t="shared" si="47"/>
        <v xml:space="preserve"> </v>
      </c>
      <c r="HP40" s="138" t="str">
        <f t="shared" si="47"/>
        <v xml:space="preserve"> </v>
      </c>
      <c r="HQ40" s="138" t="str">
        <f t="shared" si="47"/>
        <v xml:space="preserve"> </v>
      </c>
      <c r="HR40" s="138" t="str">
        <f t="shared" si="47"/>
        <v xml:space="preserve"> </v>
      </c>
      <c r="HS40" s="138" t="str">
        <f t="shared" si="47"/>
        <v xml:space="preserve"> </v>
      </c>
      <c r="HT40" s="138" t="str">
        <f t="shared" si="47"/>
        <v xml:space="preserve"> </v>
      </c>
      <c r="HU40" s="138" t="str">
        <f t="shared" si="47"/>
        <v xml:space="preserve"> </v>
      </c>
      <c r="HV40" s="138" t="str">
        <f t="shared" si="47"/>
        <v xml:space="preserve"> </v>
      </c>
      <c r="HW40" s="138" t="str">
        <f t="shared" si="47"/>
        <v xml:space="preserve"> </v>
      </c>
      <c r="HX40" s="138" t="str">
        <f t="shared" si="47"/>
        <v xml:space="preserve"> </v>
      </c>
      <c r="HY40" s="138" t="str">
        <f t="shared" si="47"/>
        <v xml:space="preserve"> </v>
      </c>
      <c r="HZ40" s="138" t="str">
        <f t="shared" si="47"/>
        <v xml:space="preserve"> </v>
      </c>
      <c r="IA40" s="138" t="str">
        <f t="shared" si="47"/>
        <v xml:space="preserve"> </v>
      </c>
      <c r="IB40" s="138" t="str">
        <f t="shared" si="47"/>
        <v xml:space="preserve"> </v>
      </c>
      <c r="IC40" s="138" t="str">
        <f t="shared" si="47"/>
        <v xml:space="preserve"> </v>
      </c>
      <c r="ID40" s="138" t="str">
        <f t="shared" si="47"/>
        <v xml:space="preserve"> </v>
      </c>
      <c r="IE40" s="138" t="str">
        <f t="shared" si="47"/>
        <v xml:space="preserve"> </v>
      </c>
      <c r="IF40" s="138" t="str">
        <f t="shared" si="47"/>
        <v xml:space="preserve"> </v>
      </c>
      <c r="IG40" s="138" t="str">
        <f t="shared" si="47"/>
        <v xml:space="preserve"> </v>
      </c>
      <c r="IH40" s="138" t="str">
        <f t="shared" si="47"/>
        <v xml:space="preserve"> </v>
      </c>
      <c r="II40" s="138" t="str">
        <f t="shared" si="47"/>
        <v xml:space="preserve"> </v>
      </c>
      <c r="IJ40" s="138" t="str">
        <f t="shared" si="47"/>
        <v xml:space="preserve"> </v>
      </c>
      <c r="IK40" s="138" t="str">
        <f t="shared" si="47"/>
        <v xml:space="preserve"> </v>
      </c>
      <c r="IL40" s="138" t="str">
        <f t="shared" si="47"/>
        <v xml:space="preserve"> </v>
      </c>
      <c r="IM40" s="138" t="str">
        <f t="shared" si="47"/>
        <v xml:space="preserve"> </v>
      </c>
      <c r="IN40" s="138" t="str">
        <f t="shared" si="47"/>
        <v xml:space="preserve"> </v>
      </c>
      <c r="IO40" s="138" t="str">
        <f t="shared" si="47"/>
        <v xml:space="preserve"> </v>
      </c>
      <c r="IP40" s="138" t="str">
        <f t="shared" si="47"/>
        <v xml:space="preserve"> </v>
      </c>
      <c r="IQ40" s="138" t="str">
        <f t="shared" si="47"/>
        <v xml:space="preserve"> </v>
      </c>
      <c r="IR40" s="138" t="str">
        <f t="shared" si="47"/>
        <v xml:space="preserve"> </v>
      </c>
      <c r="IS40" s="138" t="str">
        <f t="shared" si="47"/>
        <v xml:space="preserve"> </v>
      </c>
      <c r="IT40" s="138" t="str">
        <f t="shared" si="47"/>
        <v xml:space="preserve"> </v>
      </c>
      <c r="IU40" s="138" t="str">
        <f t="shared" si="47"/>
        <v xml:space="preserve"> </v>
      </c>
      <c r="IV40" s="138" t="str">
        <f t="shared" si="47"/>
        <v xml:space="preserve"> </v>
      </c>
      <c r="IW40" s="138" t="str">
        <f t="shared" si="47"/>
        <v xml:space="preserve"> </v>
      </c>
      <c r="IX40" s="138" t="str">
        <f t="shared" si="47"/>
        <v xml:space="preserve"> </v>
      </c>
      <c r="IY40" s="138" t="str">
        <f t="shared" si="47"/>
        <v xml:space="preserve"> </v>
      </c>
      <c r="IZ40" s="138" t="str">
        <f t="shared" si="47"/>
        <v xml:space="preserve"> </v>
      </c>
      <c r="JA40" s="138" t="str">
        <f t="shared" si="47"/>
        <v xml:space="preserve"> </v>
      </c>
      <c r="JB40" s="138" t="str">
        <f t="shared" si="47"/>
        <v xml:space="preserve"> </v>
      </c>
      <c r="JC40" s="138" t="str">
        <f t="shared" si="47"/>
        <v xml:space="preserve"> </v>
      </c>
      <c r="JD40" s="138" t="str">
        <f t="shared" si="47"/>
        <v xml:space="preserve"> </v>
      </c>
      <c r="JE40" s="138" t="str">
        <f>IF(SUM(JE27:JE28)=0," ",(JE27+JE28)/#REF!)</f>
        <v xml:space="preserve"> </v>
      </c>
      <c r="JF40" s="138" t="str">
        <f t="shared" ref="JF40:LQ40" si="48">IF(SUM(JF27:JF28)=0," ",(JF27+JF28)/JF29)</f>
        <v xml:space="preserve"> </v>
      </c>
      <c r="JG40" s="138" t="str">
        <f t="shared" si="48"/>
        <v xml:space="preserve"> </v>
      </c>
      <c r="JH40" s="138" t="str">
        <f t="shared" si="48"/>
        <v xml:space="preserve"> </v>
      </c>
      <c r="JI40" s="138" t="str">
        <f t="shared" si="48"/>
        <v xml:space="preserve"> </v>
      </c>
      <c r="JJ40" s="138" t="str">
        <f t="shared" si="48"/>
        <v xml:space="preserve"> </v>
      </c>
      <c r="JK40" s="138" t="str">
        <f t="shared" si="48"/>
        <v xml:space="preserve"> </v>
      </c>
      <c r="JL40" s="138" t="str">
        <f t="shared" si="48"/>
        <v xml:space="preserve"> </v>
      </c>
      <c r="JM40" s="138" t="str">
        <f t="shared" si="48"/>
        <v xml:space="preserve"> </v>
      </c>
      <c r="JN40" s="138" t="str">
        <f t="shared" si="48"/>
        <v xml:space="preserve"> </v>
      </c>
      <c r="JO40" s="138" t="str">
        <f t="shared" si="48"/>
        <v xml:space="preserve"> </v>
      </c>
      <c r="JP40" s="138" t="str">
        <f t="shared" si="48"/>
        <v xml:space="preserve"> </v>
      </c>
      <c r="JQ40" s="138" t="str">
        <f t="shared" si="48"/>
        <v xml:space="preserve"> </v>
      </c>
      <c r="JR40" s="138" t="str">
        <f t="shared" si="48"/>
        <v xml:space="preserve"> </v>
      </c>
      <c r="JS40" s="138" t="str">
        <f t="shared" si="48"/>
        <v xml:space="preserve"> </v>
      </c>
      <c r="JT40" s="138" t="str">
        <f t="shared" si="48"/>
        <v xml:space="preserve"> </v>
      </c>
      <c r="JU40" s="138" t="str">
        <f t="shared" si="48"/>
        <v xml:space="preserve"> </v>
      </c>
      <c r="JV40" s="138" t="str">
        <f t="shared" si="48"/>
        <v xml:space="preserve"> </v>
      </c>
      <c r="JW40" s="138" t="str">
        <f t="shared" si="48"/>
        <v xml:space="preserve"> </v>
      </c>
      <c r="JX40" s="138" t="str">
        <f t="shared" si="48"/>
        <v xml:space="preserve"> </v>
      </c>
      <c r="JY40" s="138" t="str">
        <f t="shared" si="48"/>
        <v xml:space="preserve"> </v>
      </c>
      <c r="JZ40" s="138" t="str">
        <f t="shared" si="48"/>
        <v xml:space="preserve"> </v>
      </c>
      <c r="KA40" s="138" t="str">
        <f t="shared" si="48"/>
        <v xml:space="preserve"> </v>
      </c>
      <c r="KB40" s="138" t="str">
        <f t="shared" si="48"/>
        <v xml:space="preserve"> </v>
      </c>
      <c r="KC40" s="138" t="str">
        <f t="shared" si="48"/>
        <v xml:space="preserve"> </v>
      </c>
      <c r="KD40" s="138" t="str">
        <f t="shared" si="48"/>
        <v xml:space="preserve"> </v>
      </c>
      <c r="KE40" s="138" t="str">
        <f t="shared" si="48"/>
        <v xml:space="preserve"> </v>
      </c>
      <c r="KF40" s="138" t="str">
        <f t="shared" si="48"/>
        <v xml:space="preserve"> </v>
      </c>
      <c r="KG40" s="138" t="str">
        <f t="shared" si="48"/>
        <v xml:space="preserve"> </v>
      </c>
      <c r="KH40" s="138" t="str">
        <f t="shared" si="48"/>
        <v xml:space="preserve"> </v>
      </c>
      <c r="KI40" s="138" t="str">
        <f t="shared" si="48"/>
        <v xml:space="preserve"> </v>
      </c>
      <c r="KJ40" s="138" t="str">
        <f t="shared" si="48"/>
        <v xml:space="preserve"> </v>
      </c>
      <c r="KK40" s="138" t="str">
        <f t="shared" si="48"/>
        <v xml:space="preserve"> </v>
      </c>
      <c r="KL40" s="138" t="str">
        <f t="shared" si="48"/>
        <v xml:space="preserve"> </v>
      </c>
      <c r="KM40" s="138" t="str">
        <f t="shared" si="48"/>
        <v xml:space="preserve"> </v>
      </c>
      <c r="KN40" s="138" t="str">
        <f t="shared" si="48"/>
        <v xml:space="preserve"> </v>
      </c>
      <c r="KO40" s="138" t="str">
        <f t="shared" si="48"/>
        <v xml:space="preserve"> </v>
      </c>
      <c r="KP40" s="138" t="str">
        <f t="shared" si="48"/>
        <v xml:space="preserve"> </v>
      </c>
      <c r="KQ40" s="138" t="str">
        <f t="shared" si="48"/>
        <v xml:space="preserve"> </v>
      </c>
      <c r="KR40" s="138" t="str">
        <f t="shared" si="48"/>
        <v xml:space="preserve"> </v>
      </c>
      <c r="KS40" s="138" t="str">
        <f t="shared" si="48"/>
        <v xml:space="preserve"> </v>
      </c>
      <c r="KT40" s="138" t="str">
        <f t="shared" si="48"/>
        <v xml:space="preserve"> </v>
      </c>
      <c r="KU40" s="138" t="str">
        <f t="shared" si="48"/>
        <v xml:space="preserve"> </v>
      </c>
      <c r="KV40" s="138" t="str">
        <f t="shared" si="48"/>
        <v xml:space="preserve"> </v>
      </c>
      <c r="KW40" s="138" t="str">
        <f t="shared" si="48"/>
        <v xml:space="preserve"> </v>
      </c>
      <c r="KX40" s="138" t="str">
        <f t="shared" si="48"/>
        <v xml:space="preserve"> </v>
      </c>
      <c r="KY40" s="138" t="str">
        <f t="shared" si="48"/>
        <v xml:space="preserve"> </v>
      </c>
      <c r="KZ40" s="138" t="str">
        <f t="shared" si="48"/>
        <v xml:space="preserve"> </v>
      </c>
      <c r="LA40" s="138" t="str">
        <f t="shared" si="48"/>
        <v xml:space="preserve"> </v>
      </c>
      <c r="LB40" s="138" t="str">
        <f t="shared" si="48"/>
        <v xml:space="preserve"> </v>
      </c>
      <c r="LC40" s="138" t="str">
        <f t="shared" si="48"/>
        <v xml:space="preserve"> </v>
      </c>
      <c r="LD40" s="138" t="str">
        <f t="shared" si="48"/>
        <v xml:space="preserve"> </v>
      </c>
      <c r="LE40" s="138" t="str">
        <f t="shared" si="48"/>
        <v xml:space="preserve"> </v>
      </c>
      <c r="LF40" s="138" t="str">
        <f t="shared" si="48"/>
        <v xml:space="preserve"> </v>
      </c>
      <c r="LG40" s="138" t="str">
        <f t="shared" si="48"/>
        <v xml:space="preserve"> </v>
      </c>
      <c r="LH40" s="138" t="str">
        <f t="shared" si="48"/>
        <v xml:space="preserve"> </v>
      </c>
      <c r="LI40" s="138" t="str">
        <f t="shared" si="48"/>
        <v xml:space="preserve"> </v>
      </c>
      <c r="LJ40" s="138" t="str">
        <f t="shared" si="48"/>
        <v xml:space="preserve"> </v>
      </c>
      <c r="LK40" s="138" t="str">
        <f t="shared" si="48"/>
        <v xml:space="preserve"> </v>
      </c>
      <c r="LL40" s="138" t="str">
        <f t="shared" si="48"/>
        <v xml:space="preserve"> </v>
      </c>
      <c r="LM40" s="138" t="str">
        <f t="shared" si="48"/>
        <v xml:space="preserve"> </v>
      </c>
      <c r="LN40" s="138" t="str">
        <f t="shared" si="48"/>
        <v xml:space="preserve"> </v>
      </c>
      <c r="LO40" s="138" t="str">
        <f t="shared" si="48"/>
        <v xml:space="preserve"> </v>
      </c>
      <c r="LP40" s="138" t="str">
        <f t="shared" si="48"/>
        <v xml:space="preserve"> </v>
      </c>
      <c r="LQ40" s="138" t="str">
        <f t="shared" si="48"/>
        <v xml:space="preserve"> </v>
      </c>
      <c r="LR40" s="138" t="str">
        <f t="shared" ref="LR40:NF40" si="49">IF(SUM(LR27:LR28)=0," ",(LR27+LR28)/LR29)</f>
        <v xml:space="preserve"> </v>
      </c>
      <c r="LS40" s="138" t="str">
        <f t="shared" si="49"/>
        <v xml:space="preserve"> </v>
      </c>
      <c r="LT40" s="138" t="str">
        <f t="shared" si="49"/>
        <v xml:space="preserve"> </v>
      </c>
      <c r="LU40" s="138" t="str">
        <f t="shared" si="49"/>
        <v xml:space="preserve"> </v>
      </c>
      <c r="LV40" s="138" t="str">
        <f t="shared" si="49"/>
        <v xml:space="preserve"> </v>
      </c>
      <c r="LW40" s="138" t="str">
        <f t="shared" si="49"/>
        <v xml:space="preserve"> </v>
      </c>
      <c r="LX40" s="138" t="str">
        <f t="shared" si="49"/>
        <v xml:space="preserve"> </v>
      </c>
      <c r="LY40" s="138" t="str">
        <f t="shared" si="49"/>
        <v xml:space="preserve"> </v>
      </c>
      <c r="LZ40" s="138" t="str">
        <f t="shared" si="49"/>
        <v xml:space="preserve"> </v>
      </c>
      <c r="MA40" s="138" t="str">
        <f t="shared" si="49"/>
        <v xml:space="preserve"> </v>
      </c>
      <c r="MB40" s="138" t="str">
        <f t="shared" si="49"/>
        <v xml:space="preserve"> </v>
      </c>
      <c r="MC40" s="138" t="str">
        <f t="shared" si="49"/>
        <v xml:space="preserve"> </v>
      </c>
      <c r="MD40" s="138" t="str">
        <f t="shared" si="49"/>
        <v xml:space="preserve"> </v>
      </c>
      <c r="ME40" s="138" t="str">
        <f t="shared" si="49"/>
        <v xml:space="preserve"> </v>
      </c>
      <c r="MF40" s="138" t="str">
        <f t="shared" si="49"/>
        <v xml:space="preserve"> </v>
      </c>
      <c r="MG40" s="138" t="str">
        <f t="shared" si="49"/>
        <v xml:space="preserve"> </v>
      </c>
      <c r="MH40" s="138" t="str">
        <f t="shared" si="49"/>
        <v xml:space="preserve"> </v>
      </c>
      <c r="MI40" s="138" t="str">
        <f t="shared" si="49"/>
        <v xml:space="preserve"> </v>
      </c>
      <c r="MJ40" s="138" t="str">
        <f t="shared" si="49"/>
        <v xml:space="preserve"> </v>
      </c>
      <c r="MK40" s="138" t="str">
        <f t="shared" si="49"/>
        <v xml:space="preserve"> </v>
      </c>
      <c r="ML40" s="138" t="str">
        <f t="shared" si="49"/>
        <v xml:space="preserve"> </v>
      </c>
      <c r="MM40" s="138" t="str">
        <f t="shared" si="49"/>
        <v xml:space="preserve"> </v>
      </c>
      <c r="MN40" s="138" t="str">
        <f t="shared" si="49"/>
        <v xml:space="preserve"> </v>
      </c>
      <c r="MO40" s="138" t="str">
        <f t="shared" si="49"/>
        <v xml:space="preserve"> </v>
      </c>
      <c r="MP40" s="138" t="str">
        <f t="shared" si="49"/>
        <v xml:space="preserve"> </v>
      </c>
      <c r="MQ40" s="138" t="str">
        <f t="shared" si="49"/>
        <v xml:space="preserve"> </v>
      </c>
      <c r="MR40" s="138" t="str">
        <f t="shared" si="49"/>
        <v xml:space="preserve"> </v>
      </c>
      <c r="MS40" s="138" t="str">
        <f t="shared" si="49"/>
        <v xml:space="preserve"> </v>
      </c>
      <c r="MT40" s="138" t="str">
        <f t="shared" si="49"/>
        <v xml:space="preserve"> </v>
      </c>
      <c r="MU40" s="138" t="str">
        <f t="shared" si="49"/>
        <v xml:space="preserve"> </v>
      </c>
      <c r="MV40" s="138" t="str">
        <f t="shared" si="49"/>
        <v xml:space="preserve"> </v>
      </c>
      <c r="MW40" s="138" t="str">
        <f t="shared" si="49"/>
        <v xml:space="preserve"> </v>
      </c>
      <c r="MX40" s="138" t="str">
        <f t="shared" si="49"/>
        <v xml:space="preserve"> </v>
      </c>
      <c r="MY40" s="138" t="str">
        <f t="shared" si="49"/>
        <v xml:space="preserve"> </v>
      </c>
      <c r="MZ40" s="138" t="str">
        <f t="shared" si="49"/>
        <v xml:space="preserve"> </v>
      </c>
      <c r="NA40" s="138" t="str">
        <f t="shared" si="49"/>
        <v xml:space="preserve"> </v>
      </c>
      <c r="NB40" s="138" t="str">
        <f t="shared" si="49"/>
        <v xml:space="preserve"> </v>
      </c>
      <c r="NC40" s="138" t="str">
        <f t="shared" si="49"/>
        <v xml:space="preserve"> </v>
      </c>
      <c r="ND40" s="138" t="str">
        <f t="shared" si="49"/>
        <v xml:space="preserve"> </v>
      </c>
      <c r="NE40" s="138" t="str">
        <f t="shared" si="49"/>
        <v xml:space="preserve"> </v>
      </c>
      <c r="NF40" s="138" t="str">
        <f t="shared" si="49"/>
        <v xml:space="preserve"> </v>
      </c>
      <c r="NG40" s="138" t="str">
        <f t="shared" ref="NG40:NI40" si="50">IF(SUM(NG27:NG28)=0," ",(NG27+NG28)/NG29)</f>
        <v xml:space="preserve"> </v>
      </c>
      <c r="NH40" s="138" t="str">
        <f t="shared" si="50"/>
        <v xml:space="preserve"> </v>
      </c>
      <c r="NI40" s="138" t="str">
        <f t="shared" si="50"/>
        <v xml:space="preserve"> </v>
      </c>
    </row>
    <row r="41" spans="1:373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H41" s="1"/>
      <c r="NI41" s="1"/>
    </row>
    <row r="42" spans="1:373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H42" s="1"/>
      <c r="NI42" s="1"/>
    </row>
    <row r="49152" spans="3:373" x14ac:dyDescent="0.2">
      <c r="C49152" s="1"/>
      <c r="D49152" s="1"/>
      <c r="E49152" s="1"/>
      <c r="F49152" s="1"/>
      <c r="G49152" s="1"/>
      <c r="H49152" s="1"/>
      <c r="I49152" s="1"/>
      <c r="J49152" s="1"/>
      <c r="K49152" s="1"/>
      <c r="L49152" s="1"/>
      <c r="M49152" s="1"/>
      <c r="N49152" s="1"/>
      <c r="O49152" s="1"/>
      <c r="P49152" s="1"/>
      <c r="Q49152" s="1"/>
      <c r="R49152" s="1"/>
      <c r="S49152" s="1"/>
      <c r="T49152" s="1"/>
      <c r="U49152" s="1"/>
      <c r="V49152" s="1"/>
      <c r="W49152" s="1"/>
      <c r="X49152" s="1"/>
      <c r="Y49152" s="1"/>
      <c r="Z49152" s="1"/>
      <c r="AA49152" s="1"/>
      <c r="AB49152" s="1"/>
      <c r="AC49152" s="1"/>
      <c r="AD49152" s="1"/>
      <c r="AE49152" s="1"/>
      <c r="AF49152" s="1"/>
      <c r="AG49152" s="1"/>
      <c r="AH49152" s="1"/>
      <c r="AI49152" s="1"/>
      <c r="AJ49152" s="1"/>
      <c r="AK49152" s="1"/>
      <c r="AL49152" s="1"/>
      <c r="AM49152" s="1"/>
      <c r="AN49152" s="1"/>
      <c r="AO49152" s="1"/>
      <c r="AP49152" s="1"/>
      <c r="AQ49152" s="1"/>
      <c r="AR49152" s="1"/>
      <c r="AS49152" s="1"/>
      <c r="AT49152" s="1"/>
      <c r="AU49152" s="1"/>
      <c r="AV49152" s="1"/>
      <c r="AW49152" s="1"/>
      <c r="AX49152" s="1"/>
      <c r="AY49152" s="1"/>
      <c r="AZ49152" s="1"/>
      <c r="BA49152" s="1"/>
      <c r="BB49152" s="1"/>
      <c r="BC49152" s="1"/>
      <c r="BD49152" s="1"/>
      <c r="BE49152" s="1"/>
      <c r="BF49152" s="1"/>
      <c r="BG49152" s="1"/>
      <c r="BH49152" s="1"/>
      <c r="BI49152" s="1"/>
      <c r="BJ49152" s="1"/>
      <c r="BK49152" s="1"/>
      <c r="BL49152" s="1"/>
      <c r="BM49152" s="1"/>
      <c r="BN49152" s="1"/>
      <c r="BO49152" s="1"/>
      <c r="BP49152" s="1"/>
      <c r="BQ49152" s="1"/>
      <c r="BR49152" s="1"/>
      <c r="BS49152" s="1"/>
      <c r="BT49152" s="1"/>
      <c r="BU49152" s="1"/>
      <c r="BV49152" s="1"/>
      <c r="BW49152" s="1"/>
      <c r="BX49152" s="1"/>
      <c r="BY49152" s="1"/>
      <c r="BZ49152" s="1"/>
      <c r="CA49152" s="1"/>
      <c r="CB49152" s="1"/>
      <c r="CC49152" s="1"/>
      <c r="CD49152" s="1"/>
      <c r="CE49152" s="1"/>
      <c r="CF49152" s="1"/>
      <c r="CG49152" s="1"/>
      <c r="CH49152" s="1"/>
      <c r="CI49152" s="1"/>
      <c r="CJ49152" s="1"/>
      <c r="CK49152" s="1"/>
      <c r="CL49152" s="1"/>
      <c r="CM49152" s="1"/>
      <c r="CN49152" s="1"/>
      <c r="CO49152" s="1"/>
      <c r="CP49152" s="1"/>
      <c r="CQ49152" s="1"/>
      <c r="CR49152" s="1"/>
      <c r="CS49152" s="1"/>
      <c r="CT49152" s="1"/>
      <c r="CU49152" s="1"/>
      <c r="CV49152" s="1"/>
      <c r="CW49152" s="1"/>
      <c r="CX49152" s="1"/>
      <c r="CY49152" s="1"/>
      <c r="CZ49152" s="1"/>
      <c r="DA49152" s="1"/>
      <c r="DB49152" s="1"/>
      <c r="DC49152" s="1"/>
      <c r="DD49152" s="1"/>
      <c r="DE49152" s="1"/>
      <c r="DF49152" s="1"/>
      <c r="DG49152" s="1"/>
      <c r="DH49152" s="1"/>
      <c r="DI49152" s="1"/>
      <c r="DJ49152" s="1"/>
      <c r="DK49152" s="1"/>
      <c r="DL49152" s="1"/>
      <c r="DM49152" s="1"/>
      <c r="DN49152" s="1"/>
      <c r="DO49152" s="1"/>
      <c r="DP49152" s="1"/>
      <c r="DQ49152" s="1"/>
      <c r="DR49152" s="1"/>
      <c r="DS49152" s="1"/>
      <c r="DT49152" s="1"/>
      <c r="DU49152" s="1"/>
      <c r="DV49152" s="1"/>
      <c r="DW49152" s="1"/>
      <c r="DX49152" s="1"/>
      <c r="DY49152" s="1"/>
      <c r="DZ49152" s="1"/>
      <c r="EA49152" s="1"/>
      <c r="EB49152" s="1"/>
      <c r="EC49152" s="1"/>
      <c r="ED49152" s="1"/>
      <c r="EE49152" s="1"/>
      <c r="EF49152" s="1"/>
      <c r="EG49152" s="1"/>
      <c r="EH49152" s="1"/>
      <c r="EI49152" s="1"/>
      <c r="EJ49152" s="1"/>
      <c r="EK49152" s="1"/>
      <c r="EL49152" s="1"/>
      <c r="EM49152" s="1"/>
      <c r="EN49152" s="1"/>
      <c r="EO49152" s="1"/>
      <c r="EP49152" s="1"/>
      <c r="EQ49152" s="1"/>
      <c r="ER49152" s="1"/>
      <c r="ES49152" s="1"/>
      <c r="ET49152" s="1"/>
      <c r="EU49152" s="1"/>
      <c r="EV49152" s="1"/>
      <c r="EW49152" s="1"/>
      <c r="EX49152" s="1"/>
      <c r="EY49152" s="1"/>
      <c r="EZ49152" s="1"/>
      <c r="FA49152" s="1"/>
      <c r="FB49152" s="1"/>
      <c r="FC49152" s="1"/>
      <c r="FD49152" s="1"/>
      <c r="FE49152" s="1"/>
      <c r="FF49152" s="1"/>
      <c r="FG49152" s="1"/>
      <c r="FH49152" s="1"/>
      <c r="FI49152" s="1"/>
      <c r="FJ49152" s="1"/>
      <c r="FK49152" s="1"/>
      <c r="FL49152" s="1"/>
      <c r="FM49152" s="1"/>
      <c r="FN49152" s="1"/>
      <c r="FO49152" s="1"/>
      <c r="FP49152" s="1"/>
      <c r="FQ49152" s="1"/>
      <c r="FR49152" s="1"/>
      <c r="FS49152" s="1"/>
      <c r="FT49152" s="1"/>
      <c r="FU49152" s="1"/>
      <c r="FV49152" s="1"/>
      <c r="FW49152" s="1"/>
      <c r="FX49152" s="1"/>
      <c r="FY49152" s="1"/>
      <c r="FZ49152" s="1"/>
      <c r="GA49152" s="1"/>
      <c r="GB49152" s="1"/>
      <c r="GC49152" s="1"/>
      <c r="GD49152" s="1"/>
      <c r="GE49152" s="1"/>
      <c r="GF49152" s="1"/>
      <c r="GG49152" s="1"/>
      <c r="GH49152" s="1"/>
      <c r="GI49152" s="1"/>
      <c r="GJ49152" s="1"/>
      <c r="GK49152" s="1"/>
      <c r="GL49152" s="1"/>
      <c r="GM49152" s="1"/>
      <c r="GN49152" s="1"/>
      <c r="GO49152" s="1"/>
      <c r="GP49152" s="1"/>
      <c r="GQ49152" s="1"/>
      <c r="GR49152" s="1"/>
      <c r="GS49152" s="1"/>
      <c r="GT49152" s="1"/>
      <c r="GU49152" s="1"/>
      <c r="GV49152" s="1"/>
      <c r="GW49152" s="1"/>
      <c r="GX49152" s="1"/>
      <c r="GY49152" s="1"/>
      <c r="GZ49152" s="1"/>
      <c r="HA49152" s="1"/>
      <c r="HB49152" s="1"/>
      <c r="HC49152" s="1"/>
      <c r="HD49152" s="1"/>
      <c r="HE49152" s="1"/>
      <c r="HF49152" s="1"/>
      <c r="HG49152" s="1"/>
      <c r="HH49152" s="1"/>
      <c r="HI49152" s="1"/>
      <c r="HJ49152" s="1"/>
      <c r="HK49152" s="1"/>
      <c r="HL49152" s="1"/>
      <c r="HM49152" s="1"/>
      <c r="HN49152" s="1"/>
      <c r="HO49152" s="1"/>
      <c r="HP49152" s="1"/>
      <c r="HQ49152" s="1"/>
      <c r="HR49152" s="1"/>
      <c r="HS49152" s="1"/>
      <c r="HT49152" s="1"/>
      <c r="HU49152" s="1"/>
      <c r="HV49152" s="1"/>
      <c r="HW49152" s="1"/>
      <c r="HX49152" s="1"/>
      <c r="HY49152" s="1"/>
      <c r="HZ49152" s="1"/>
      <c r="IA49152" s="1"/>
      <c r="IB49152" s="1"/>
      <c r="IC49152" s="1"/>
      <c r="ID49152" s="1"/>
      <c r="IE49152" s="1"/>
      <c r="IF49152" s="1"/>
      <c r="IG49152" s="1"/>
      <c r="IH49152" s="1"/>
      <c r="II49152" s="1"/>
      <c r="IJ49152" s="1"/>
      <c r="IK49152" s="1"/>
      <c r="IL49152" s="1"/>
      <c r="IM49152" s="1"/>
      <c r="IN49152" s="1"/>
      <c r="IO49152" s="1"/>
      <c r="IP49152" s="1"/>
      <c r="IQ49152" s="1"/>
      <c r="IR49152" s="1"/>
      <c r="IS49152" s="1"/>
      <c r="IT49152" s="1"/>
      <c r="IU49152" s="1"/>
      <c r="IV49152" s="1"/>
      <c r="IW49152" s="1"/>
      <c r="IX49152" s="1"/>
      <c r="IY49152" s="1"/>
      <c r="IZ49152" s="1"/>
      <c r="JA49152" s="1"/>
      <c r="JB49152" s="1"/>
      <c r="JC49152" s="1"/>
      <c r="JD49152" s="1"/>
      <c r="JE49152" s="1"/>
      <c r="JF49152" s="1"/>
      <c r="JG49152" s="1"/>
      <c r="JH49152" s="1"/>
      <c r="JI49152" s="1"/>
      <c r="JJ49152" s="1"/>
      <c r="JK49152" s="1"/>
      <c r="JL49152" s="1"/>
      <c r="JM49152" s="1"/>
      <c r="JN49152" s="1"/>
      <c r="JO49152" s="1"/>
      <c r="JP49152" s="1"/>
      <c r="JQ49152" s="1"/>
      <c r="JR49152" s="1"/>
      <c r="JS49152" s="1"/>
      <c r="JT49152" s="1"/>
      <c r="JU49152" s="1"/>
      <c r="JV49152" s="1"/>
      <c r="JW49152" s="1"/>
      <c r="JX49152" s="1"/>
      <c r="JY49152" s="1"/>
      <c r="JZ49152" s="1"/>
      <c r="KA49152" s="1"/>
      <c r="KB49152" s="1"/>
      <c r="KC49152" s="1"/>
      <c r="KD49152" s="1"/>
      <c r="KE49152" s="1"/>
      <c r="KF49152" s="1"/>
      <c r="KG49152" s="1"/>
      <c r="KH49152" s="1"/>
      <c r="KI49152" s="1"/>
      <c r="KJ49152" s="1"/>
      <c r="KK49152" s="1"/>
      <c r="KL49152" s="1"/>
      <c r="KM49152" s="1"/>
      <c r="KN49152" s="1"/>
      <c r="KO49152" s="1"/>
      <c r="KP49152" s="1"/>
      <c r="KQ49152" s="1"/>
      <c r="KR49152" s="1"/>
      <c r="KS49152" s="1"/>
      <c r="KT49152" s="1"/>
      <c r="KU49152" s="1"/>
      <c r="KV49152" s="1"/>
      <c r="KW49152" s="1"/>
      <c r="KX49152" s="1"/>
      <c r="KY49152" s="1"/>
      <c r="KZ49152" s="1"/>
      <c r="LA49152" s="1"/>
      <c r="LB49152" s="1"/>
      <c r="LC49152" s="1"/>
      <c r="LD49152" s="1"/>
      <c r="LE49152" s="1"/>
      <c r="LF49152" s="1"/>
      <c r="LG49152" s="1"/>
      <c r="LH49152" s="1"/>
      <c r="LI49152" s="1"/>
      <c r="LJ49152" s="1"/>
      <c r="LK49152" s="1"/>
      <c r="LL49152" s="1"/>
      <c r="LM49152" s="1"/>
      <c r="LN49152" s="1"/>
      <c r="LO49152" s="1"/>
      <c r="LP49152" s="1"/>
      <c r="LQ49152" s="1"/>
      <c r="LR49152" s="1"/>
      <c r="LS49152" s="1"/>
      <c r="LT49152" s="1"/>
      <c r="LU49152" s="1"/>
      <c r="LV49152" s="1"/>
      <c r="LW49152" s="1"/>
      <c r="LX49152" s="1"/>
      <c r="LY49152" s="1"/>
      <c r="LZ49152" s="1"/>
      <c r="MA49152" s="1"/>
      <c r="MB49152" s="1"/>
      <c r="MC49152" s="1"/>
      <c r="MD49152" s="1"/>
      <c r="ME49152" s="1"/>
      <c r="MF49152" s="1"/>
      <c r="MG49152" s="1"/>
      <c r="MH49152" s="1"/>
      <c r="MI49152" s="1"/>
      <c r="MJ49152" s="1"/>
      <c r="MK49152" s="1"/>
      <c r="ML49152" s="1"/>
      <c r="MM49152" s="1"/>
      <c r="MN49152" s="1"/>
      <c r="MO49152" s="1"/>
      <c r="MP49152" s="1"/>
      <c r="MQ49152" s="1"/>
      <c r="MR49152" s="1"/>
      <c r="MS49152" s="1"/>
      <c r="MT49152" s="1"/>
      <c r="MU49152" s="1"/>
      <c r="MV49152" s="1"/>
      <c r="MW49152" s="1"/>
      <c r="MX49152" s="1"/>
      <c r="MY49152" s="1"/>
      <c r="MZ49152" s="1"/>
      <c r="NA49152" s="1"/>
      <c r="NB49152" s="1"/>
      <c r="NC49152" s="1"/>
      <c r="ND49152" s="1"/>
      <c r="NE49152" s="1"/>
      <c r="NF49152" s="1"/>
      <c r="NH49152" s="1"/>
      <c r="NI49152" s="1"/>
    </row>
  </sheetData>
  <sheetProtection algorithmName="SHA-512" hashValue="QCvNenPyaqM0Cr3Pg1CqeE2+4Otsiu8D4SrWLBU0JgNlIJg/C0juwPrsoZxa1T+HnbZyXqVwNpTvSRUvoxAPxw==" saltValue="6B2hMxbG0/ikbIkFJmNheg==" spinCount="100000" formatCells="0"/>
  <pageMargins left="0.7" right="0.7" top="0.75" bottom="0.75" header="0.3" footer="0.3"/>
  <pageSetup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BD49154"/>
  <sheetViews>
    <sheetView topLeftCell="A2" zoomScaleNormal="100" workbookViewId="0">
      <pane xSplit="1" ySplit="1" topLeftCell="C3" activePane="bottomRight" state="frozen"/>
      <selection activeCell="A2" sqref="A2"/>
      <selection pane="topRight" activeCell="B2" sqref="B2"/>
      <selection pane="bottomLeft" activeCell="A3" sqref="A3"/>
      <selection pane="bottomRight" activeCell="BC2" sqref="BC2"/>
    </sheetView>
  </sheetViews>
  <sheetFormatPr baseColWidth="10" defaultRowHeight="15" x14ac:dyDescent="0.2"/>
  <cols>
    <col min="1" max="1" width="29.5" bestFit="1" customWidth="1"/>
    <col min="38" max="38" width="11.6640625" customWidth="1"/>
  </cols>
  <sheetData>
    <row r="1" spans="1:55" ht="16" thickBot="1" x14ac:dyDescent="0.25">
      <c r="A1" s="2"/>
      <c r="B1" s="2"/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</row>
    <row r="2" spans="1:55" ht="16" thickBot="1" x14ac:dyDescent="0.25">
      <c r="A2" s="3" t="s">
        <v>0</v>
      </c>
      <c r="B2" s="8"/>
      <c r="C2" s="27" t="s">
        <v>29</v>
      </c>
      <c r="D2" s="27" t="s">
        <v>30</v>
      </c>
      <c r="E2" s="27" t="s">
        <v>31</v>
      </c>
      <c r="F2" s="27" t="s">
        <v>32</v>
      </c>
      <c r="G2" s="27" t="s">
        <v>33</v>
      </c>
      <c r="H2" s="27" t="s">
        <v>34</v>
      </c>
      <c r="I2" s="27" t="s">
        <v>35</v>
      </c>
      <c r="J2" s="27" t="s">
        <v>36</v>
      </c>
      <c r="K2" s="27" t="s">
        <v>37</v>
      </c>
      <c r="L2" s="27" t="s">
        <v>38</v>
      </c>
      <c r="M2" s="27" t="s">
        <v>39</v>
      </c>
      <c r="N2" s="27" t="s">
        <v>40</v>
      </c>
      <c r="O2" s="27" t="s">
        <v>41</v>
      </c>
      <c r="P2" s="27" t="s">
        <v>42</v>
      </c>
      <c r="Q2" s="27" t="s">
        <v>43</v>
      </c>
      <c r="R2" s="27" t="s">
        <v>44</v>
      </c>
      <c r="S2" s="27" t="s">
        <v>45</v>
      </c>
      <c r="T2" s="27" t="s">
        <v>46</v>
      </c>
      <c r="U2" s="27" t="s">
        <v>47</v>
      </c>
      <c r="V2" s="27" t="s">
        <v>48</v>
      </c>
      <c r="W2" s="27" t="s">
        <v>49</v>
      </c>
      <c r="X2" s="27" t="s">
        <v>50</v>
      </c>
      <c r="Y2" s="27" t="s">
        <v>51</v>
      </c>
      <c r="Z2" s="27" t="s">
        <v>52</v>
      </c>
      <c r="AA2" s="27" t="s">
        <v>53</v>
      </c>
      <c r="AB2" s="27" t="s">
        <v>54</v>
      </c>
      <c r="AC2" s="27" t="s">
        <v>55</v>
      </c>
      <c r="AD2" s="27" t="s">
        <v>56</v>
      </c>
      <c r="AE2" s="27" t="s">
        <v>57</v>
      </c>
      <c r="AF2" s="27" t="s">
        <v>58</v>
      </c>
      <c r="AG2" s="27" t="s">
        <v>59</v>
      </c>
      <c r="AH2" s="27" t="s">
        <v>60</v>
      </c>
      <c r="AI2" s="27" t="s">
        <v>61</v>
      </c>
      <c r="AJ2" s="27" t="s">
        <v>62</v>
      </c>
      <c r="AK2" s="27" t="s">
        <v>63</v>
      </c>
      <c r="AL2" s="27" t="s">
        <v>64</v>
      </c>
      <c r="AM2" s="27" t="s">
        <v>65</v>
      </c>
      <c r="AN2" s="27" t="s">
        <v>66</v>
      </c>
      <c r="AO2" s="27" t="s">
        <v>67</v>
      </c>
      <c r="AP2" s="27" t="s">
        <v>68</v>
      </c>
      <c r="AQ2" s="27" t="s">
        <v>69</v>
      </c>
      <c r="AR2" s="27" t="s">
        <v>70</v>
      </c>
      <c r="AS2" s="27" t="s">
        <v>71</v>
      </c>
      <c r="AT2" s="27" t="s">
        <v>72</v>
      </c>
      <c r="AU2" s="27" t="s">
        <v>73</v>
      </c>
      <c r="AV2" s="27" t="s">
        <v>74</v>
      </c>
      <c r="AW2" s="27" t="s">
        <v>75</v>
      </c>
      <c r="AX2" s="27" t="s">
        <v>76</v>
      </c>
      <c r="AY2" s="27" t="s">
        <v>77</v>
      </c>
      <c r="AZ2" s="27" t="s">
        <v>78</v>
      </c>
      <c r="BA2" s="27" t="s">
        <v>79</v>
      </c>
      <c r="BB2" s="27" t="s">
        <v>80</v>
      </c>
      <c r="BC2" s="27" t="s">
        <v>159</v>
      </c>
    </row>
    <row r="3" spans="1:55" s="96" customFormat="1" x14ac:dyDescent="0.2">
      <c r="A3" s="95" t="s">
        <v>1</v>
      </c>
      <c r="B3" s="68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>
        <v>214</v>
      </c>
      <c r="AW3" s="69"/>
      <c r="AX3" s="69"/>
      <c r="AY3" s="69"/>
      <c r="AZ3" s="69"/>
      <c r="BA3" s="69"/>
      <c r="BB3" s="69"/>
      <c r="BC3" s="69"/>
    </row>
    <row r="4" spans="1:55" s="96" customFormat="1" x14ac:dyDescent="0.2">
      <c r="A4" s="97" t="s">
        <v>2</v>
      </c>
      <c r="B4" s="70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>
        <v>693</v>
      </c>
      <c r="Q4" s="71">
        <v>429</v>
      </c>
      <c r="R4" s="71">
        <v>700</v>
      </c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</row>
    <row r="5" spans="1:55" s="96" customFormat="1" x14ac:dyDescent="0.2">
      <c r="A5" s="98" t="s">
        <v>3</v>
      </c>
      <c r="B5" s="70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>
        <v>282</v>
      </c>
      <c r="R5" s="72">
        <v>251</v>
      </c>
      <c r="S5" s="72">
        <v>483</v>
      </c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</row>
    <row r="6" spans="1:55" s="96" customFormat="1" x14ac:dyDescent="0.2">
      <c r="A6" s="98" t="s">
        <v>4</v>
      </c>
      <c r="B6" s="70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</row>
    <row r="7" spans="1:55" s="96" customFormat="1" ht="16" thickBot="1" x14ac:dyDescent="0.25">
      <c r="A7" s="99" t="s">
        <v>5</v>
      </c>
      <c r="B7" s="73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>
        <v>441</v>
      </c>
      <c r="AY7" s="74"/>
      <c r="AZ7" s="74"/>
      <c r="BA7" s="74"/>
      <c r="BB7" s="74">
        <v>186</v>
      </c>
      <c r="BC7" s="74"/>
    </row>
    <row r="8" spans="1:55" s="96" customFormat="1" ht="16" thickBot="1" x14ac:dyDescent="0.25">
      <c r="A8" s="76"/>
      <c r="B8" s="75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</row>
    <row r="9" spans="1:55" s="96" customFormat="1" x14ac:dyDescent="0.2">
      <c r="A9" s="100" t="s">
        <v>6</v>
      </c>
      <c r="B9" s="77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</row>
    <row r="10" spans="1:55" s="96" customFormat="1" x14ac:dyDescent="0.2">
      <c r="A10" s="101" t="s">
        <v>7</v>
      </c>
      <c r="B10" s="79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</row>
    <row r="11" spans="1:55" s="96" customFormat="1" x14ac:dyDescent="0.2">
      <c r="A11" s="102" t="s">
        <v>8</v>
      </c>
      <c r="B11" s="81"/>
      <c r="C11" s="82"/>
      <c r="D11" s="82">
        <v>2835</v>
      </c>
      <c r="E11" s="82">
        <v>1890</v>
      </c>
      <c r="F11" s="82">
        <v>2772</v>
      </c>
      <c r="G11" s="82">
        <v>2250</v>
      </c>
      <c r="H11" s="82">
        <v>3213</v>
      </c>
      <c r="I11" s="82">
        <v>2695</v>
      </c>
      <c r="J11" s="82">
        <v>2961</v>
      </c>
      <c r="K11" s="82">
        <v>1305</v>
      </c>
      <c r="L11" s="82">
        <v>2068</v>
      </c>
      <c r="M11" s="82">
        <v>1260</v>
      </c>
      <c r="N11" s="82">
        <v>1890</v>
      </c>
      <c r="O11" s="82"/>
      <c r="P11" s="82">
        <v>1260</v>
      </c>
      <c r="Q11" s="82">
        <v>72</v>
      </c>
      <c r="R11" s="82">
        <v>72</v>
      </c>
      <c r="S11" s="82">
        <v>756</v>
      </c>
      <c r="T11" s="82">
        <v>630</v>
      </c>
      <c r="U11" s="82">
        <v>1260</v>
      </c>
      <c r="V11" s="82">
        <v>630</v>
      </c>
      <c r="W11" s="82">
        <v>666</v>
      </c>
      <c r="X11" s="82">
        <v>2128</v>
      </c>
      <c r="Y11" s="82">
        <v>1332</v>
      </c>
      <c r="Z11" s="82">
        <v>1368</v>
      </c>
      <c r="AA11" s="82">
        <v>1089</v>
      </c>
      <c r="AB11" s="82">
        <v>1059</v>
      </c>
      <c r="AC11" s="82">
        <v>1056</v>
      </c>
      <c r="AD11" s="82">
        <v>2034</v>
      </c>
      <c r="AE11" s="82">
        <v>3618</v>
      </c>
      <c r="AF11" s="82">
        <v>2313</v>
      </c>
      <c r="AG11" s="82">
        <v>2277</v>
      </c>
      <c r="AH11" s="82">
        <v>3897</v>
      </c>
      <c r="AI11" s="82">
        <v>3897</v>
      </c>
      <c r="AJ11" s="82">
        <v>1809</v>
      </c>
      <c r="AK11" s="82">
        <v>2675</v>
      </c>
      <c r="AL11" s="82">
        <v>2745</v>
      </c>
      <c r="AM11" s="82">
        <v>1512</v>
      </c>
      <c r="AN11" s="82">
        <v>4095</v>
      </c>
      <c r="AO11" s="82">
        <v>2366</v>
      </c>
      <c r="AP11" s="82">
        <v>2268</v>
      </c>
      <c r="AQ11" s="82">
        <v>3033</v>
      </c>
      <c r="AR11" s="82">
        <v>2358</v>
      </c>
      <c r="AS11" s="82">
        <v>2268</v>
      </c>
      <c r="AT11" s="82">
        <v>2522</v>
      </c>
      <c r="AU11" s="82">
        <v>2835</v>
      </c>
      <c r="AV11" s="82">
        <v>1404</v>
      </c>
      <c r="AW11" s="82">
        <v>2961</v>
      </c>
      <c r="AX11" s="82">
        <v>2223</v>
      </c>
      <c r="AY11" s="82">
        <v>2520</v>
      </c>
      <c r="AZ11" s="82">
        <v>1404</v>
      </c>
      <c r="BA11" s="82">
        <v>2925</v>
      </c>
      <c r="BB11" s="82">
        <v>2385</v>
      </c>
      <c r="BC11" s="82">
        <v>2236</v>
      </c>
    </row>
    <row r="12" spans="1:55" s="96" customFormat="1" x14ac:dyDescent="0.2">
      <c r="A12" s="102" t="s">
        <v>9</v>
      </c>
      <c r="B12" s="81"/>
      <c r="C12" s="83">
        <v>576</v>
      </c>
      <c r="D12" s="83">
        <v>630</v>
      </c>
      <c r="E12" s="83">
        <v>630</v>
      </c>
      <c r="F12" s="83">
        <v>630</v>
      </c>
      <c r="G12" s="83">
        <v>630</v>
      </c>
      <c r="H12" s="83">
        <v>189</v>
      </c>
      <c r="I12" s="83">
        <v>1329</v>
      </c>
      <c r="J12" s="83">
        <v>72</v>
      </c>
      <c r="K12" s="83">
        <v>1260</v>
      </c>
      <c r="L12" s="83">
        <v>981</v>
      </c>
      <c r="M12" s="83"/>
      <c r="N12" s="83"/>
      <c r="O12" s="83"/>
      <c r="P12" s="83"/>
      <c r="Q12" s="83"/>
      <c r="R12" s="83"/>
      <c r="S12" s="83"/>
      <c r="T12" s="83"/>
      <c r="U12" s="83">
        <v>729</v>
      </c>
      <c r="V12" s="83"/>
      <c r="W12" s="83"/>
      <c r="X12" s="83">
        <v>315</v>
      </c>
      <c r="Y12" s="83">
        <v>351</v>
      </c>
      <c r="Z12" s="83">
        <v>441</v>
      </c>
      <c r="AA12" s="83">
        <v>315</v>
      </c>
      <c r="AB12" s="83">
        <v>389</v>
      </c>
      <c r="AC12" s="83"/>
      <c r="AD12" s="83">
        <v>630</v>
      </c>
      <c r="AE12" s="83"/>
      <c r="AF12" s="83">
        <v>1260</v>
      </c>
      <c r="AG12" s="83"/>
      <c r="AH12" s="83">
        <v>436</v>
      </c>
      <c r="AI12" s="83">
        <v>693</v>
      </c>
      <c r="AJ12" s="83">
        <v>315</v>
      </c>
      <c r="AK12" s="83">
        <v>315</v>
      </c>
      <c r="AL12" s="83"/>
      <c r="AM12" s="83">
        <v>504</v>
      </c>
      <c r="AN12" s="83">
        <v>630</v>
      </c>
      <c r="AO12" s="83">
        <v>1017</v>
      </c>
      <c r="AP12" s="83"/>
      <c r="AQ12" s="83">
        <v>630</v>
      </c>
      <c r="AR12" s="83"/>
      <c r="AS12" s="83"/>
      <c r="AT12" s="83">
        <v>945</v>
      </c>
      <c r="AU12" s="83">
        <v>630</v>
      </c>
      <c r="AV12" s="83">
        <v>0</v>
      </c>
      <c r="AW12" s="83">
        <v>504</v>
      </c>
      <c r="AX12" s="83">
        <v>1134</v>
      </c>
      <c r="AY12" s="83">
        <v>378</v>
      </c>
      <c r="AZ12" s="83">
        <v>774</v>
      </c>
      <c r="BA12" s="83"/>
      <c r="BB12" s="83">
        <v>945</v>
      </c>
      <c r="BC12" s="83">
        <v>1368</v>
      </c>
    </row>
    <row r="13" spans="1:55" s="96" customFormat="1" x14ac:dyDescent="0.2">
      <c r="A13" s="102" t="s">
        <v>10</v>
      </c>
      <c r="B13" s="81"/>
      <c r="C13" s="82">
        <v>408</v>
      </c>
      <c r="D13" s="82">
        <v>1488</v>
      </c>
      <c r="E13" s="82">
        <v>1644</v>
      </c>
      <c r="F13" s="82">
        <v>1992</v>
      </c>
      <c r="G13" s="82">
        <v>1669</v>
      </c>
      <c r="H13" s="82">
        <v>1797</v>
      </c>
      <c r="I13" s="82">
        <v>2880</v>
      </c>
      <c r="J13" s="82">
        <v>2168</v>
      </c>
      <c r="K13" s="82">
        <v>2573</v>
      </c>
      <c r="L13" s="82">
        <v>1198</v>
      </c>
      <c r="M13" s="82">
        <v>840</v>
      </c>
      <c r="N13" s="82">
        <v>480</v>
      </c>
      <c r="O13" s="82">
        <v>608</v>
      </c>
      <c r="P13" s="82">
        <v>480</v>
      </c>
      <c r="Q13" s="82">
        <v>4</v>
      </c>
      <c r="R13" s="82">
        <v>540</v>
      </c>
      <c r="S13" s="82">
        <v>292</v>
      </c>
      <c r="T13" s="82">
        <v>564</v>
      </c>
      <c r="U13" s="82">
        <v>812</v>
      </c>
      <c r="V13" s="82">
        <v>432</v>
      </c>
      <c r="W13" s="82">
        <v>800</v>
      </c>
      <c r="X13" s="82">
        <v>1008</v>
      </c>
      <c r="Y13" s="82">
        <v>882</v>
      </c>
      <c r="Z13" s="82">
        <v>900</v>
      </c>
      <c r="AA13" s="82">
        <v>1168</v>
      </c>
      <c r="AB13" s="82">
        <v>648</v>
      </c>
      <c r="AC13" s="82">
        <v>556</v>
      </c>
      <c r="AD13" s="82">
        <v>1320</v>
      </c>
      <c r="AE13" s="82">
        <v>2016</v>
      </c>
      <c r="AF13" s="82">
        <v>2688</v>
      </c>
      <c r="AG13" s="82">
        <v>1582</v>
      </c>
      <c r="AH13" s="82">
        <v>837</v>
      </c>
      <c r="AI13" s="82">
        <v>460</v>
      </c>
      <c r="AJ13" s="82">
        <v>1580</v>
      </c>
      <c r="AK13" s="82">
        <v>1448</v>
      </c>
      <c r="AL13" s="82">
        <v>1826</v>
      </c>
      <c r="AM13" s="82">
        <v>1444</v>
      </c>
      <c r="AN13" s="82">
        <v>2172</v>
      </c>
      <c r="AO13" s="82">
        <v>1936</v>
      </c>
      <c r="AP13" s="82">
        <v>1386</v>
      </c>
      <c r="AQ13" s="82">
        <v>2452</v>
      </c>
      <c r="AR13" s="82">
        <v>1608</v>
      </c>
      <c r="AS13" s="82">
        <v>1160</v>
      </c>
      <c r="AT13" s="82">
        <v>2220</v>
      </c>
      <c r="AU13" s="82">
        <v>1060</v>
      </c>
      <c r="AV13" s="82">
        <v>1008</v>
      </c>
      <c r="AW13" s="82">
        <v>1444</v>
      </c>
      <c r="AX13" s="82">
        <v>1068</v>
      </c>
      <c r="AY13" s="82">
        <v>1564</v>
      </c>
      <c r="AZ13" s="82">
        <v>1852</v>
      </c>
      <c r="BA13" s="82">
        <v>848</v>
      </c>
      <c r="BB13" s="82">
        <v>1500</v>
      </c>
      <c r="BC13" s="82">
        <v>1806</v>
      </c>
    </row>
    <row r="14" spans="1:55" s="96" customFormat="1" ht="16" thickBot="1" x14ac:dyDescent="0.25">
      <c r="A14" s="103" t="s">
        <v>11</v>
      </c>
      <c r="B14" s="84"/>
      <c r="C14" s="85">
        <v>120</v>
      </c>
      <c r="D14" s="85">
        <v>288</v>
      </c>
      <c r="E14" s="85">
        <v>492</v>
      </c>
      <c r="F14" s="85">
        <v>468</v>
      </c>
      <c r="G14" s="85">
        <v>244</v>
      </c>
      <c r="H14" s="85">
        <v>336</v>
      </c>
      <c r="I14" s="85">
        <v>830</v>
      </c>
      <c r="J14" s="85">
        <v>508</v>
      </c>
      <c r="K14" s="85">
        <v>720</v>
      </c>
      <c r="L14" s="85">
        <v>240</v>
      </c>
      <c r="M14" s="85">
        <v>300</v>
      </c>
      <c r="N14" s="85">
        <v>24</v>
      </c>
      <c r="O14" s="85"/>
      <c r="P14" s="85"/>
      <c r="Q14" s="85"/>
      <c r="R14" s="85">
        <v>276</v>
      </c>
      <c r="S14" s="85">
        <v>4</v>
      </c>
      <c r="T14" s="85">
        <v>72</v>
      </c>
      <c r="U14" s="85">
        <v>148</v>
      </c>
      <c r="V14" s="85">
        <v>144</v>
      </c>
      <c r="W14" s="85">
        <v>360</v>
      </c>
      <c r="X14" s="85">
        <v>240</v>
      </c>
      <c r="Y14" s="85">
        <v>36</v>
      </c>
      <c r="Z14" s="85">
        <v>300</v>
      </c>
      <c r="AA14" s="85">
        <v>240</v>
      </c>
      <c r="AB14" s="85">
        <v>240</v>
      </c>
      <c r="AC14" s="85"/>
      <c r="AD14" s="85">
        <v>240</v>
      </c>
      <c r="AE14" s="85">
        <v>420</v>
      </c>
      <c r="AF14" s="85">
        <v>624</v>
      </c>
      <c r="AG14" s="85">
        <v>216</v>
      </c>
      <c r="AH14" s="85">
        <v>87</v>
      </c>
      <c r="AI14" s="85">
        <v>192</v>
      </c>
      <c r="AJ14" s="85">
        <v>378</v>
      </c>
      <c r="AK14" s="85">
        <v>288</v>
      </c>
      <c r="AL14" s="85">
        <v>0</v>
      </c>
      <c r="AM14" s="85">
        <v>288</v>
      </c>
      <c r="AN14" s="85">
        <v>600</v>
      </c>
      <c r="AO14" s="85">
        <v>276</v>
      </c>
      <c r="AP14" s="85"/>
      <c r="AQ14" s="85">
        <v>480</v>
      </c>
      <c r="AR14" s="85">
        <v>290</v>
      </c>
      <c r="AS14" s="85">
        <v>288</v>
      </c>
      <c r="AT14" s="85">
        <v>288</v>
      </c>
      <c r="AU14" s="85">
        <v>288</v>
      </c>
      <c r="AV14" s="85">
        <v>246</v>
      </c>
      <c r="AW14" s="85">
        <v>240</v>
      </c>
      <c r="AX14" s="85">
        <v>648</v>
      </c>
      <c r="AY14" s="85">
        <v>360</v>
      </c>
      <c r="AZ14" s="85">
        <v>264</v>
      </c>
      <c r="BA14" s="85">
        <v>360</v>
      </c>
      <c r="BB14" s="85">
        <v>504</v>
      </c>
      <c r="BC14" s="85">
        <v>722</v>
      </c>
    </row>
    <row r="15" spans="1:55" s="96" customFormat="1" x14ac:dyDescent="0.2">
      <c r="A15" s="104" t="s">
        <v>6</v>
      </c>
      <c r="B15" s="86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</row>
    <row r="16" spans="1:55" s="96" customFormat="1" x14ac:dyDescent="0.2">
      <c r="A16" s="101" t="s">
        <v>7</v>
      </c>
      <c r="B16" s="79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</row>
    <row r="17" spans="1:56" s="96" customFormat="1" x14ac:dyDescent="0.2">
      <c r="A17" s="102" t="s">
        <v>12</v>
      </c>
      <c r="B17" s="81"/>
      <c r="C17" s="82">
        <v>852</v>
      </c>
      <c r="D17" s="82">
        <v>456</v>
      </c>
      <c r="E17" s="82">
        <v>636</v>
      </c>
      <c r="F17" s="82">
        <v>504</v>
      </c>
      <c r="G17" s="82">
        <v>576</v>
      </c>
      <c r="H17" s="82">
        <v>492</v>
      </c>
      <c r="I17" s="82">
        <v>679</v>
      </c>
      <c r="J17" s="82">
        <v>540</v>
      </c>
      <c r="K17" s="82">
        <v>666</v>
      </c>
      <c r="L17" s="82">
        <v>487</v>
      </c>
      <c r="M17" s="82">
        <v>456</v>
      </c>
      <c r="N17" s="82">
        <v>648</v>
      </c>
      <c r="O17" s="82">
        <v>380</v>
      </c>
      <c r="P17" s="82">
        <v>504</v>
      </c>
      <c r="Q17" s="82">
        <v>381</v>
      </c>
      <c r="R17" s="82">
        <v>585</v>
      </c>
      <c r="S17" s="82">
        <v>392</v>
      </c>
      <c r="T17" s="82">
        <v>440</v>
      </c>
      <c r="U17" s="82">
        <v>536</v>
      </c>
      <c r="V17" s="82">
        <v>552</v>
      </c>
      <c r="W17" s="82">
        <v>493</v>
      </c>
      <c r="X17" s="82">
        <v>624</v>
      </c>
      <c r="Y17" s="82">
        <v>400</v>
      </c>
      <c r="Z17" s="82">
        <v>528</v>
      </c>
      <c r="AA17" s="82">
        <v>636</v>
      </c>
      <c r="AB17" s="82">
        <v>310</v>
      </c>
      <c r="AC17" s="82">
        <v>685</v>
      </c>
      <c r="AD17" s="82">
        <v>654</v>
      </c>
      <c r="AE17" s="82">
        <v>413</v>
      </c>
      <c r="AF17" s="82">
        <v>534</v>
      </c>
      <c r="AG17" s="82">
        <v>448</v>
      </c>
      <c r="AH17" s="82">
        <v>743</v>
      </c>
      <c r="AI17" s="82">
        <v>745</v>
      </c>
      <c r="AJ17" s="82">
        <v>642</v>
      </c>
      <c r="AK17" s="82">
        <v>656</v>
      </c>
      <c r="AL17" s="82">
        <v>840</v>
      </c>
      <c r="AM17" s="82">
        <v>444</v>
      </c>
      <c r="AN17" s="82">
        <v>576</v>
      </c>
      <c r="AO17" s="82">
        <v>516</v>
      </c>
      <c r="AP17" s="82">
        <v>417</v>
      </c>
      <c r="AQ17" s="82">
        <v>867</v>
      </c>
      <c r="AR17" s="82">
        <v>455</v>
      </c>
      <c r="AS17" s="82">
        <v>468</v>
      </c>
      <c r="AT17" s="82">
        <v>832</v>
      </c>
      <c r="AU17" s="82">
        <v>296</v>
      </c>
      <c r="AV17" s="82">
        <v>616</v>
      </c>
      <c r="AW17" s="82">
        <v>496</v>
      </c>
      <c r="AX17" s="82">
        <v>688</v>
      </c>
      <c r="AY17" s="82">
        <v>584</v>
      </c>
      <c r="AZ17" s="82">
        <v>622</v>
      </c>
      <c r="BA17" s="82">
        <v>523</v>
      </c>
      <c r="BB17" s="82">
        <v>480</v>
      </c>
      <c r="BC17" s="82">
        <v>694</v>
      </c>
    </row>
    <row r="18" spans="1:56" s="96" customFormat="1" x14ac:dyDescent="0.2">
      <c r="A18" s="102" t="s">
        <v>13</v>
      </c>
      <c r="B18" s="81"/>
      <c r="C18" s="82"/>
      <c r="D18" s="82">
        <v>192</v>
      </c>
      <c r="E18" s="82">
        <v>128</v>
      </c>
      <c r="F18" s="82">
        <v>64</v>
      </c>
      <c r="G18" s="82">
        <v>107</v>
      </c>
      <c r="H18" s="82">
        <v>0</v>
      </c>
      <c r="I18" s="82">
        <v>0</v>
      </c>
      <c r="J18" s="82"/>
      <c r="K18" s="82"/>
      <c r="L18" s="82"/>
      <c r="M18" s="82"/>
      <c r="N18" s="82">
        <v>24</v>
      </c>
      <c r="O18" s="82">
        <v>96</v>
      </c>
      <c r="P18" s="82">
        <v>172</v>
      </c>
      <c r="Q18" s="82">
        <v>24</v>
      </c>
      <c r="R18" s="82">
        <v>48</v>
      </c>
      <c r="S18" s="82">
        <v>96</v>
      </c>
      <c r="T18" s="82">
        <v>12</v>
      </c>
      <c r="U18" s="82">
        <v>98</v>
      </c>
      <c r="V18" s="82">
        <v>100</v>
      </c>
      <c r="W18" s="82">
        <v>24</v>
      </c>
      <c r="X18" s="82">
        <v>192</v>
      </c>
      <c r="Y18" s="82">
        <v>239</v>
      </c>
      <c r="Z18" s="82">
        <v>200</v>
      </c>
      <c r="AA18" s="82">
        <v>152</v>
      </c>
      <c r="AB18" s="82">
        <v>128</v>
      </c>
      <c r="AC18" s="82">
        <v>114</v>
      </c>
      <c r="AD18" s="82">
        <v>112</v>
      </c>
      <c r="AE18" s="82">
        <v>164</v>
      </c>
      <c r="AF18" s="82">
        <v>24</v>
      </c>
      <c r="AG18" s="82"/>
      <c r="AH18" s="82"/>
      <c r="AI18" s="82">
        <v>60</v>
      </c>
      <c r="AJ18" s="82">
        <v>176</v>
      </c>
      <c r="AK18" s="82">
        <v>128</v>
      </c>
      <c r="AL18" s="82">
        <v>188</v>
      </c>
      <c r="AM18" s="82">
        <v>128</v>
      </c>
      <c r="AN18" s="82">
        <v>96</v>
      </c>
      <c r="AO18" s="82">
        <v>190</v>
      </c>
      <c r="AP18" s="82"/>
      <c r="AQ18" s="82">
        <v>72</v>
      </c>
      <c r="AR18" s="82">
        <v>79</v>
      </c>
      <c r="AS18" s="82">
        <v>224</v>
      </c>
      <c r="AT18" s="82">
        <v>177</v>
      </c>
      <c r="AU18" s="82"/>
      <c r="AV18" s="82">
        <v>64</v>
      </c>
      <c r="AW18" s="82">
        <v>62</v>
      </c>
      <c r="AX18" s="82">
        <v>224</v>
      </c>
      <c r="AY18" s="82">
        <v>128</v>
      </c>
      <c r="AZ18" s="82">
        <v>392</v>
      </c>
      <c r="BA18" s="82">
        <v>54</v>
      </c>
      <c r="BB18" s="82">
        <v>96</v>
      </c>
      <c r="BC18" s="82">
        <v>123</v>
      </c>
    </row>
    <row r="19" spans="1:56" s="130" customFormat="1" x14ac:dyDescent="0.2">
      <c r="A19" s="18" t="s">
        <v>133</v>
      </c>
      <c r="B19" s="81"/>
      <c r="C19" s="128"/>
      <c r="D19" s="128"/>
      <c r="E19" s="128">
        <v>316</v>
      </c>
      <c r="F19" s="128">
        <v>252</v>
      </c>
      <c r="G19" s="128"/>
      <c r="H19" s="128"/>
      <c r="I19" s="128">
        <v>252</v>
      </c>
      <c r="J19" s="128">
        <v>441</v>
      </c>
      <c r="K19" s="128">
        <v>252</v>
      </c>
      <c r="L19" s="128">
        <v>225</v>
      </c>
      <c r="M19" s="128"/>
      <c r="N19" s="128"/>
      <c r="O19" s="128">
        <v>189</v>
      </c>
      <c r="P19" s="128"/>
      <c r="Q19" s="128"/>
      <c r="R19" s="128"/>
      <c r="S19" s="128"/>
      <c r="T19" s="128"/>
      <c r="U19" s="128">
        <v>378</v>
      </c>
      <c r="V19" s="128"/>
      <c r="W19" s="128"/>
      <c r="X19" s="128"/>
      <c r="Y19" s="128">
        <v>126</v>
      </c>
      <c r="Z19" s="128">
        <v>126</v>
      </c>
      <c r="AA19" s="128"/>
      <c r="AB19" s="128">
        <v>189</v>
      </c>
      <c r="AC19" s="128"/>
      <c r="AD19" s="128"/>
      <c r="AE19" s="128">
        <v>252</v>
      </c>
      <c r="AF19" s="128">
        <v>567</v>
      </c>
      <c r="AG19" s="128">
        <v>252</v>
      </c>
      <c r="AH19" s="128">
        <v>504</v>
      </c>
      <c r="AI19" s="128"/>
      <c r="AJ19" s="128"/>
      <c r="AK19" s="128">
        <v>252</v>
      </c>
      <c r="AL19" s="128"/>
      <c r="AM19" s="128">
        <v>378</v>
      </c>
      <c r="AN19" s="128"/>
      <c r="AO19" s="128">
        <v>315</v>
      </c>
      <c r="AP19" s="128">
        <v>378</v>
      </c>
      <c r="AQ19" s="128"/>
      <c r="AR19" s="128">
        <v>378</v>
      </c>
      <c r="AS19" s="128"/>
      <c r="AT19" s="128">
        <v>509</v>
      </c>
      <c r="AU19" s="128">
        <v>126</v>
      </c>
      <c r="AV19" s="128">
        <v>252</v>
      </c>
      <c r="AW19" s="128">
        <v>252</v>
      </c>
      <c r="AX19" s="128"/>
      <c r="AY19" s="128">
        <v>315</v>
      </c>
      <c r="AZ19" s="128">
        <v>315</v>
      </c>
      <c r="BA19" s="128">
        <v>315</v>
      </c>
      <c r="BB19" s="128"/>
      <c r="BC19" s="128">
        <v>4</v>
      </c>
    </row>
    <row r="20" spans="1:56" s="96" customFormat="1" ht="16" thickBot="1" x14ac:dyDescent="0.25">
      <c r="A20" s="103" t="s">
        <v>135</v>
      </c>
      <c r="B20" s="127"/>
      <c r="C20" s="128">
        <v>129</v>
      </c>
      <c r="D20" s="128">
        <v>128</v>
      </c>
      <c r="E20" s="128">
        <v>96</v>
      </c>
      <c r="F20" s="128">
        <v>384</v>
      </c>
      <c r="G20" s="128">
        <v>384</v>
      </c>
      <c r="H20" s="128">
        <v>320</v>
      </c>
      <c r="I20" s="128">
        <v>368</v>
      </c>
      <c r="J20" s="128">
        <v>313</v>
      </c>
      <c r="K20" s="128">
        <v>672</v>
      </c>
      <c r="L20" s="128">
        <v>647</v>
      </c>
      <c r="M20" s="128"/>
      <c r="N20" s="128">
        <v>160</v>
      </c>
      <c r="O20" s="128">
        <v>128</v>
      </c>
      <c r="P20" s="128"/>
      <c r="Q20" s="128"/>
      <c r="R20" s="128"/>
      <c r="S20" s="128"/>
      <c r="T20" s="128"/>
      <c r="U20" s="128">
        <v>192</v>
      </c>
      <c r="V20" s="128"/>
      <c r="W20" s="128"/>
      <c r="X20" s="128">
        <v>192</v>
      </c>
      <c r="Y20" s="128">
        <v>192</v>
      </c>
      <c r="Z20" s="128"/>
      <c r="AA20" s="128">
        <v>448</v>
      </c>
      <c r="AB20" s="128">
        <v>3</v>
      </c>
      <c r="AC20" s="128">
        <v>322</v>
      </c>
      <c r="AD20" s="128">
        <v>256</v>
      </c>
      <c r="AE20" s="128">
        <v>320</v>
      </c>
      <c r="AF20" s="128">
        <v>486</v>
      </c>
      <c r="AG20" s="128"/>
      <c r="AH20" s="128">
        <v>313</v>
      </c>
      <c r="AI20" s="128">
        <v>288</v>
      </c>
      <c r="AJ20" s="128">
        <v>352</v>
      </c>
      <c r="AK20" s="128">
        <v>128</v>
      </c>
      <c r="AL20" s="128">
        <v>256</v>
      </c>
      <c r="AM20" s="128">
        <v>352</v>
      </c>
      <c r="AN20" s="128">
        <v>512</v>
      </c>
      <c r="AO20" s="128">
        <v>129</v>
      </c>
      <c r="AP20" s="128">
        <v>64</v>
      </c>
      <c r="AQ20" s="128">
        <v>542</v>
      </c>
      <c r="AR20" s="128">
        <v>246</v>
      </c>
      <c r="AS20" s="128">
        <v>384</v>
      </c>
      <c r="AT20" s="128">
        <v>450</v>
      </c>
      <c r="AU20" s="128">
        <v>128</v>
      </c>
      <c r="AV20" s="128">
        <v>384</v>
      </c>
      <c r="AW20" s="128">
        <v>384</v>
      </c>
      <c r="AX20" s="128">
        <v>188</v>
      </c>
      <c r="AY20" s="128">
        <v>280</v>
      </c>
      <c r="AZ20" s="128">
        <v>224</v>
      </c>
      <c r="BA20" s="128">
        <v>504</v>
      </c>
      <c r="BB20" s="128"/>
      <c r="BC20" s="128">
        <v>505</v>
      </c>
      <c r="BD20" s="110"/>
    </row>
    <row r="21" spans="1:56" s="96" customFormat="1" x14ac:dyDescent="0.2">
      <c r="A21" s="100" t="s">
        <v>6</v>
      </c>
      <c r="B21" s="77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</row>
    <row r="22" spans="1:56" s="96" customFormat="1" x14ac:dyDescent="0.2">
      <c r="A22" s="101" t="s">
        <v>7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</row>
    <row r="23" spans="1:56" s="171" customFormat="1" x14ac:dyDescent="0.2">
      <c r="A23" s="170" t="s">
        <v>14</v>
      </c>
      <c r="B23" s="166"/>
      <c r="C23" s="167"/>
      <c r="D23" s="167">
        <v>120</v>
      </c>
      <c r="E23" s="167">
        <v>240</v>
      </c>
      <c r="F23" s="167">
        <v>48</v>
      </c>
      <c r="G23" s="167">
        <v>168</v>
      </c>
      <c r="H23" s="167">
        <v>242</v>
      </c>
      <c r="I23" s="167">
        <v>240</v>
      </c>
      <c r="J23" s="167">
        <v>96</v>
      </c>
      <c r="K23" s="167">
        <v>242</v>
      </c>
      <c r="L23" s="167">
        <v>240</v>
      </c>
      <c r="M23" s="167">
        <v>118</v>
      </c>
      <c r="N23" s="167"/>
      <c r="O23" s="167"/>
      <c r="P23" s="167">
        <v>120</v>
      </c>
      <c r="Q23" s="167"/>
      <c r="R23" s="167"/>
      <c r="S23" s="167">
        <v>120</v>
      </c>
      <c r="T23" s="168"/>
      <c r="U23" s="168"/>
      <c r="V23" s="168">
        <v>120</v>
      </c>
      <c r="W23" s="167">
        <v>240</v>
      </c>
      <c r="X23" s="167"/>
      <c r="Y23" s="167"/>
      <c r="Z23" s="167"/>
      <c r="AA23" s="167">
        <v>120</v>
      </c>
      <c r="AB23" s="167">
        <v>120</v>
      </c>
      <c r="AC23" s="167"/>
      <c r="AD23" s="167">
        <v>192</v>
      </c>
      <c r="AE23" s="167">
        <v>192</v>
      </c>
      <c r="AF23" s="167"/>
      <c r="AG23" s="167">
        <v>240</v>
      </c>
      <c r="AH23" s="167"/>
      <c r="AI23" s="167">
        <v>193</v>
      </c>
      <c r="AJ23" s="167"/>
      <c r="AK23" s="167">
        <v>144</v>
      </c>
      <c r="AL23" s="167">
        <v>96</v>
      </c>
      <c r="AM23" s="167">
        <v>120</v>
      </c>
      <c r="AN23" s="167">
        <v>240</v>
      </c>
      <c r="AO23" s="167">
        <v>120</v>
      </c>
      <c r="AP23" s="167">
        <v>72</v>
      </c>
      <c r="AQ23" s="167">
        <v>188</v>
      </c>
      <c r="AR23" s="167">
        <v>72</v>
      </c>
      <c r="AS23" s="167">
        <v>55</v>
      </c>
      <c r="AT23" s="167"/>
      <c r="AU23" s="167"/>
      <c r="AV23" s="167"/>
      <c r="AW23" s="167"/>
      <c r="AX23" s="167"/>
      <c r="AY23" s="167"/>
      <c r="AZ23" s="167"/>
      <c r="BA23" s="167"/>
      <c r="BB23" s="167"/>
      <c r="BC23" s="167"/>
    </row>
    <row r="24" spans="1:56" s="96" customFormat="1" ht="16" thickBot="1" x14ac:dyDescent="0.25">
      <c r="A24" s="106" t="s">
        <v>15</v>
      </c>
      <c r="B24" s="84"/>
      <c r="C24" s="83">
        <v>168</v>
      </c>
      <c r="D24" s="83">
        <v>336</v>
      </c>
      <c r="E24" s="83">
        <v>228</v>
      </c>
      <c r="F24" s="83">
        <v>428</v>
      </c>
      <c r="G24" s="83">
        <v>175</v>
      </c>
      <c r="H24" s="83">
        <v>385</v>
      </c>
      <c r="I24" s="83">
        <v>574</v>
      </c>
      <c r="J24" s="83">
        <v>504</v>
      </c>
      <c r="K24" s="83">
        <v>280</v>
      </c>
      <c r="L24" s="83">
        <v>350</v>
      </c>
      <c r="M24" s="83">
        <v>315</v>
      </c>
      <c r="N24" s="83">
        <v>175</v>
      </c>
      <c r="O24" s="83"/>
      <c r="P24" s="83">
        <v>420</v>
      </c>
      <c r="Q24" s="83">
        <v>24</v>
      </c>
      <c r="R24" s="83">
        <v>24</v>
      </c>
      <c r="S24" s="83"/>
      <c r="T24" s="83"/>
      <c r="U24" s="83">
        <v>187</v>
      </c>
      <c r="V24" s="83">
        <v>175</v>
      </c>
      <c r="W24" s="83">
        <v>350</v>
      </c>
      <c r="X24" s="83"/>
      <c r="Y24" s="83"/>
      <c r="Z24" s="83">
        <v>315</v>
      </c>
      <c r="AA24" s="83">
        <v>422</v>
      </c>
      <c r="AB24" s="83">
        <v>176</v>
      </c>
      <c r="AC24" s="83">
        <v>283</v>
      </c>
      <c r="AD24" s="83">
        <v>280</v>
      </c>
      <c r="AE24" s="83">
        <v>280</v>
      </c>
      <c r="AF24" s="83">
        <v>398</v>
      </c>
      <c r="AG24" s="83">
        <v>272</v>
      </c>
      <c r="AH24" s="83">
        <v>420</v>
      </c>
      <c r="AI24" s="83">
        <v>214</v>
      </c>
      <c r="AJ24" s="83">
        <v>341</v>
      </c>
      <c r="AK24" s="83">
        <v>280</v>
      </c>
      <c r="AL24" s="83">
        <v>210</v>
      </c>
      <c r="AM24" s="83">
        <v>210</v>
      </c>
      <c r="AN24" s="83">
        <v>350</v>
      </c>
      <c r="AO24" s="83">
        <v>175</v>
      </c>
      <c r="AP24" s="83">
        <v>175</v>
      </c>
      <c r="AQ24" s="83">
        <v>539</v>
      </c>
      <c r="AR24" s="83">
        <v>175</v>
      </c>
      <c r="AS24" s="83">
        <v>175</v>
      </c>
      <c r="AT24" s="83">
        <v>385</v>
      </c>
      <c r="AU24" s="83">
        <v>350</v>
      </c>
      <c r="AV24" s="83">
        <v>490</v>
      </c>
      <c r="AW24" s="83">
        <v>316</v>
      </c>
      <c r="AX24" s="83">
        <v>420</v>
      </c>
      <c r="AY24" s="83">
        <v>167</v>
      </c>
      <c r="AZ24" s="83">
        <v>70</v>
      </c>
      <c r="BA24" s="83"/>
      <c r="BB24" s="83"/>
      <c r="BC24" s="83"/>
    </row>
    <row r="25" spans="1:56" s="96" customFormat="1" ht="16" thickBot="1" x14ac:dyDescent="0.25">
      <c r="A25" s="104" t="s">
        <v>7</v>
      </c>
      <c r="B25" s="77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</row>
    <row r="26" spans="1:56" s="96" customFormat="1" ht="16" thickBot="1" x14ac:dyDescent="0.25">
      <c r="A26" s="105" t="s">
        <v>16</v>
      </c>
      <c r="B26" s="84"/>
      <c r="C26" s="83">
        <v>610</v>
      </c>
      <c r="D26" s="83">
        <v>779</v>
      </c>
      <c r="E26" s="83">
        <v>1055</v>
      </c>
      <c r="F26" s="83">
        <v>1168</v>
      </c>
      <c r="G26" s="83">
        <v>1370</v>
      </c>
      <c r="H26" s="83">
        <v>700</v>
      </c>
      <c r="I26" s="83">
        <v>1832</v>
      </c>
      <c r="J26" s="83">
        <v>1593</v>
      </c>
      <c r="K26" s="83">
        <v>2380</v>
      </c>
      <c r="L26" s="83">
        <v>2114</v>
      </c>
      <c r="M26" s="83">
        <v>951</v>
      </c>
      <c r="N26" s="83">
        <v>1497</v>
      </c>
      <c r="O26" s="83">
        <v>1200</v>
      </c>
      <c r="P26" s="83">
        <v>564</v>
      </c>
      <c r="Q26" s="83">
        <v>400</v>
      </c>
      <c r="R26" s="83">
        <v>940</v>
      </c>
      <c r="S26" s="83">
        <v>830</v>
      </c>
      <c r="T26" s="83">
        <v>510</v>
      </c>
      <c r="U26" s="83">
        <v>550</v>
      </c>
      <c r="V26" s="83">
        <v>520</v>
      </c>
      <c r="W26" s="83">
        <v>500</v>
      </c>
      <c r="X26" s="83">
        <v>997</v>
      </c>
      <c r="Y26" s="83">
        <v>90</v>
      </c>
      <c r="Z26" s="83">
        <v>850</v>
      </c>
      <c r="AA26" s="83">
        <v>400</v>
      </c>
      <c r="AB26" s="83">
        <v>338</v>
      </c>
      <c r="AC26" s="83">
        <v>300</v>
      </c>
      <c r="AD26" s="83">
        <v>700</v>
      </c>
      <c r="AE26" s="83">
        <v>770</v>
      </c>
      <c r="AF26" s="83">
        <v>620</v>
      </c>
      <c r="AG26" s="83">
        <v>310</v>
      </c>
      <c r="AH26" s="93">
        <v>696</v>
      </c>
      <c r="AI26" s="93">
        <v>410</v>
      </c>
      <c r="AJ26" s="93">
        <v>1377</v>
      </c>
      <c r="AK26" s="83">
        <v>600</v>
      </c>
      <c r="AL26" s="83">
        <v>525</v>
      </c>
      <c r="AM26" s="83">
        <v>916</v>
      </c>
      <c r="AN26" s="83">
        <v>995</v>
      </c>
      <c r="AO26" s="83">
        <v>400</v>
      </c>
      <c r="AP26" s="83">
        <v>1776</v>
      </c>
      <c r="AQ26" s="83">
        <v>854</v>
      </c>
      <c r="AR26" s="83">
        <v>320</v>
      </c>
      <c r="AS26" s="83">
        <v>1264</v>
      </c>
      <c r="AT26" s="83">
        <v>801</v>
      </c>
      <c r="AU26" s="126">
        <v>300</v>
      </c>
      <c r="AV26" s="83">
        <v>686</v>
      </c>
      <c r="AW26" s="83">
        <v>1376</v>
      </c>
      <c r="AX26" s="83">
        <v>952</v>
      </c>
      <c r="AY26" s="83">
        <v>688</v>
      </c>
      <c r="AZ26" s="83">
        <v>770</v>
      </c>
      <c r="BA26" s="83">
        <v>1186</v>
      </c>
      <c r="BB26" s="83"/>
      <c r="BC26" s="83">
        <v>856</v>
      </c>
    </row>
    <row r="27" spans="1:56" s="96" customFormat="1" x14ac:dyDescent="0.2">
      <c r="A27" s="100" t="s">
        <v>6</v>
      </c>
      <c r="B27" s="77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</row>
    <row r="28" spans="1:56" s="96" customFormat="1" x14ac:dyDescent="0.2">
      <c r="A28" s="101" t="s">
        <v>7</v>
      </c>
      <c r="B28" s="79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</row>
    <row r="29" spans="1:56" s="96" customFormat="1" ht="16" thickBot="1" x14ac:dyDescent="0.25">
      <c r="A29" s="105" t="s">
        <v>17</v>
      </c>
      <c r="B29" s="88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</row>
    <row r="30" spans="1:56" s="96" customFormat="1" x14ac:dyDescent="0.2">
      <c r="A30" s="100" t="s">
        <v>18</v>
      </c>
      <c r="B30" s="89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</row>
    <row r="31" spans="1:56" s="96" customFormat="1" x14ac:dyDescent="0.2">
      <c r="A31" s="72" t="s">
        <v>19</v>
      </c>
      <c r="B31" s="81"/>
      <c r="C31" s="90">
        <v>116</v>
      </c>
      <c r="D31" s="90">
        <v>78</v>
      </c>
      <c r="E31" s="90">
        <v>126</v>
      </c>
      <c r="F31" s="90"/>
      <c r="G31" s="90">
        <v>78</v>
      </c>
      <c r="H31" s="90">
        <v>91</v>
      </c>
      <c r="I31" s="90">
        <v>69</v>
      </c>
      <c r="J31" s="90"/>
      <c r="K31" s="90">
        <v>84</v>
      </c>
      <c r="L31" s="90"/>
      <c r="M31" s="90">
        <v>123</v>
      </c>
      <c r="N31" s="90"/>
      <c r="O31" s="90">
        <v>2</v>
      </c>
      <c r="P31" s="90">
        <v>140</v>
      </c>
      <c r="Q31" s="90">
        <v>2</v>
      </c>
      <c r="R31" s="90"/>
      <c r="S31" s="90">
        <v>115</v>
      </c>
      <c r="T31" s="90"/>
      <c r="U31" s="90">
        <v>80</v>
      </c>
      <c r="V31" s="90">
        <v>66</v>
      </c>
      <c r="W31" s="90">
        <v>111</v>
      </c>
      <c r="X31" s="90"/>
      <c r="Y31" s="90">
        <v>137</v>
      </c>
      <c r="Z31" s="90">
        <v>78</v>
      </c>
      <c r="AA31" s="90">
        <v>80</v>
      </c>
      <c r="AB31" s="90">
        <v>34</v>
      </c>
      <c r="AC31" s="90">
        <v>2</v>
      </c>
      <c r="AD31" s="90">
        <v>0</v>
      </c>
      <c r="AE31" s="90"/>
      <c r="AF31" s="90">
        <v>273</v>
      </c>
      <c r="AG31" s="90">
        <v>139</v>
      </c>
      <c r="AH31" s="90">
        <v>156</v>
      </c>
      <c r="AI31" s="90">
        <v>69</v>
      </c>
      <c r="AJ31" s="90"/>
      <c r="AK31" s="90">
        <v>251</v>
      </c>
      <c r="AL31" s="90"/>
      <c r="AM31" s="90">
        <v>2</v>
      </c>
      <c r="AN31" s="90">
        <v>195</v>
      </c>
      <c r="AO31" s="90">
        <v>2</v>
      </c>
      <c r="AP31" s="90"/>
      <c r="AQ31" s="90">
        <v>249</v>
      </c>
      <c r="AR31" s="90">
        <v>117</v>
      </c>
      <c r="AS31" s="90">
        <v>80</v>
      </c>
      <c r="AT31" s="90">
        <v>177</v>
      </c>
      <c r="AU31" s="90">
        <v>2</v>
      </c>
      <c r="AV31" s="90">
        <v>133</v>
      </c>
      <c r="AW31" s="90">
        <v>127</v>
      </c>
      <c r="AX31" s="90">
        <v>117</v>
      </c>
      <c r="AY31" s="90">
        <v>17</v>
      </c>
      <c r="AZ31" s="90">
        <v>199</v>
      </c>
      <c r="BA31" s="90">
        <v>224</v>
      </c>
      <c r="BB31" s="90"/>
      <c r="BC31" s="90">
        <v>1</v>
      </c>
    </row>
    <row r="32" spans="1:56" s="96" customFormat="1" x14ac:dyDescent="0.2">
      <c r="A32" s="72" t="s">
        <v>20</v>
      </c>
      <c r="B32" s="81"/>
      <c r="C32" s="90">
        <v>41</v>
      </c>
      <c r="D32" s="90">
        <v>64</v>
      </c>
      <c r="E32" s="90">
        <v>83</v>
      </c>
      <c r="F32" s="90">
        <v>80</v>
      </c>
      <c r="G32" s="90">
        <v>74</v>
      </c>
      <c r="H32" s="90">
        <v>31</v>
      </c>
      <c r="I32" s="90">
        <v>58</v>
      </c>
      <c r="J32" s="90">
        <v>21</v>
      </c>
      <c r="K32" s="90">
        <v>69</v>
      </c>
      <c r="L32" s="90">
        <v>41</v>
      </c>
      <c r="M32" s="90">
        <v>47</v>
      </c>
      <c r="N32" s="90">
        <v>20</v>
      </c>
      <c r="O32" s="90">
        <v>46</v>
      </c>
      <c r="P32" s="90">
        <v>60</v>
      </c>
      <c r="Q32" s="90">
        <v>34</v>
      </c>
      <c r="R32" s="90">
        <v>66</v>
      </c>
      <c r="S32" s="90"/>
      <c r="T32" s="90">
        <v>52</v>
      </c>
      <c r="U32" s="90">
        <v>81</v>
      </c>
      <c r="V32" s="90">
        <v>40</v>
      </c>
      <c r="W32" s="90">
        <v>131</v>
      </c>
      <c r="X32" s="90">
        <v>80</v>
      </c>
      <c r="Y32" s="90">
        <v>106</v>
      </c>
      <c r="Z32" s="90">
        <v>141</v>
      </c>
      <c r="AA32" s="90">
        <v>128</v>
      </c>
      <c r="AB32" s="90">
        <v>97</v>
      </c>
      <c r="AC32" s="90">
        <v>89</v>
      </c>
      <c r="AD32" s="90">
        <v>178</v>
      </c>
      <c r="AE32" s="90">
        <v>113</v>
      </c>
      <c r="AF32" s="90">
        <v>165</v>
      </c>
      <c r="AG32" s="90">
        <v>82</v>
      </c>
      <c r="AH32" s="90">
        <v>110</v>
      </c>
      <c r="AI32" s="90">
        <v>55</v>
      </c>
      <c r="AJ32" s="90">
        <v>57</v>
      </c>
      <c r="AK32" s="90">
        <v>42</v>
      </c>
      <c r="AL32" s="90">
        <v>87</v>
      </c>
      <c r="AM32" s="90">
        <v>41</v>
      </c>
      <c r="AN32" s="90">
        <v>133</v>
      </c>
      <c r="AO32" s="90">
        <v>125</v>
      </c>
      <c r="AP32" s="90">
        <v>68</v>
      </c>
      <c r="AQ32" s="90">
        <v>165</v>
      </c>
      <c r="AR32" s="90">
        <v>91</v>
      </c>
      <c r="AS32" s="90">
        <v>112</v>
      </c>
      <c r="AT32" s="90">
        <v>119</v>
      </c>
      <c r="AU32" s="90">
        <v>80</v>
      </c>
      <c r="AV32" s="90">
        <v>84</v>
      </c>
      <c r="AW32" s="90">
        <v>96</v>
      </c>
      <c r="AX32" s="90">
        <v>147</v>
      </c>
      <c r="AY32" s="90">
        <v>104</v>
      </c>
      <c r="AZ32" s="90">
        <v>167</v>
      </c>
      <c r="BA32" s="90"/>
      <c r="BB32" s="90">
        <v>113</v>
      </c>
      <c r="BC32" s="90">
        <v>62</v>
      </c>
    </row>
    <row r="33" spans="1:55" s="96" customFormat="1" ht="16" thickBot="1" x14ac:dyDescent="0.25">
      <c r="A33" s="74" t="s">
        <v>21</v>
      </c>
      <c r="B33" s="84"/>
      <c r="C33" s="91">
        <v>61</v>
      </c>
      <c r="D33" s="91">
        <v>17</v>
      </c>
      <c r="E33" s="91">
        <v>15</v>
      </c>
      <c r="F33" s="91">
        <v>52</v>
      </c>
      <c r="G33" s="91">
        <v>25</v>
      </c>
      <c r="H33" s="91">
        <v>106</v>
      </c>
      <c r="I33" s="91">
        <v>45</v>
      </c>
      <c r="J33" s="91">
        <v>8</v>
      </c>
      <c r="K33" s="91">
        <v>35</v>
      </c>
      <c r="L33" s="91">
        <v>30</v>
      </c>
      <c r="M33" s="91">
        <v>8</v>
      </c>
      <c r="N33" s="91">
        <v>19</v>
      </c>
      <c r="O33" s="91">
        <v>36</v>
      </c>
      <c r="P33" s="91">
        <v>96</v>
      </c>
      <c r="Q33" s="91">
        <v>66</v>
      </c>
      <c r="R33" s="91">
        <v>31</v>
      </c>
      <c r="S33" s="91"/>
      <c r="T33" s="91"/>
      <c r="U33" s="91">
        <v>30</v>
      </c>
      <c r="V33" s="91">
        <v>25</v>
      </c>
      <c r="W33" s="91">
        <v>43</v>
      </c>
      <c r="X33" s="91">
        <v>20</v>
      </c>
      <c r="Y33" s="91">
        <v>53</v>
      </c>
      <c r="Z33" s="91">
        <v>29</v>
      </c>
      <c r="AA33" s="91">
        <v>18</v>
      </c>
      <c r="AB33" s="91">
        <v>70</v>
      </c>
      <c r="AC33" s="91">
        <v>20</v>
      </c>
      <c r="AD33" s="91">
        <v>60</v>
      </c>
      <c r="AE33" s="91">
        <v>63</v>
      </c>
      <c r="AF33" s="91">
        <v>52</v>
      </c>
      <c r="AG33" s="91">
        <v>12</v>
      </c>
      <c r="AH33" s="91">
        <v>23</v>
      </c>
      <c r="AI33" s="91"/>
      <c r="AJ33" s="91">
        <v>35</v>
      </c>
      <c r="AK33" s="91">
        <v>25</v>
      </c>
      <c r="AL33" s="91">
        <v>94</v>
      </c>
      <c r="AM33" s="91">
        <v>31</v>
      </c>
      <c r="AN33" s="91">
        <v>65</v>
      </c>
      <c r="AO33" s="91">
        <v>22</v>
      </c>
      <c r="AP33" s="91">
        <v>16</v>
      </c>
      <c r="AQ33" s="91">
        <v>37</v>
      </c>
      <c r="AR33" s="91">
        <v>15</v>
      </c>
      <c r="AS33" s="91">
        <v>70</v>
      </c>
      <c r="AT33" s="91">
        <v>62</v>
      </c>
      <c r="AU33" s="91">
        <v>27</v>
      </c>
      <c r="AV33" s="91">
        <v>66</v>
      </c>
      <c r="AW33" s="91">
        <v>58</v>
      </c>
      <c r="AX33" s="91">
        <v>56</v>
      </c>
      <c r="AY33" s="91">
        <v>20</v>
      </c>
      <c r="AZ33" s="91">
        <v>57</v>
      </c>
      <c r="BA33" s="91"/>
      <c r="BB33" s="91">
        <v>68</v>
      </c>
      <c r="BC33" s="91">
        <v>9</v>
      </c>
    </row>
    <row r="34" spans="1:55" s="96" customFormat="1" ht="16" thickBot="1" x14ac:dyDescent="0.25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</row>
    <row r="35" spans="1:55" s="96" customFormat="1" x14ac:dyDescent="0.2">
      <c r="A35" s="68" t="s">
        <v>22</v>
      </c>
      <c r="B35" s="92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</row>
    <row r="36" spans="1:55" s="96" customFormat="1" ht="16" thickBot="1" x14ac:dyDescent="0.25">
      <c r="A36" s="73" t="s">
        <v>23</v>
      </c>
      <c r="B36" s="94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</row>
    <row r="37" spans="1:55" ht="16" thickBo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 x14ac:dyDescent="0.2">
      <c r="A38" s="19" t="s">
        <v>24</v>
      </c>
      <c r="B38" s="9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</row>
    <row r="39" spans="1:55" x14ac:dyDescent="0.2">
      <c r="A39" s="17" t="s">
        <v>25</v>
      </c>
      <c r="B39" s="1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</row>
    <row r="40" spans="1:55" x14ac:dyDescent="0.2">
      <c r="A40" s="17" t="s">
        <v>26</v>
      </c>
      <c r="B40" s="13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</row>
    <row r="41" spans="1:55" x14ac:dyDescent="0.2">
      <c r="A41" s="17" t="s">
        <v>27</v>
      </c>
      <c r="B41" s="13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</row>
    <row r="42" spans="1:55" ht="16" thickBot="1" x14ac:dyDescent="0.25">
      <c r="A42" s="15" t="s">
        <v>28</v>
      </c>
      <c r="B42" s="10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</row>
    <row r="43" spans="1:5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9154" spans="3:55" x14ac:dyDescent="0.2">
      <c r="C49154" s="1"/>
      <c r="D49154" s="1"/>
      <c r="E49154" s="1"/>
      <c r="F49154" s="1"/>
      <c r="G49154" s="1"/>
      <c r="H49154" s="1"/>
      <c r="I49154" s="1"/>
      <c r="J49154" s="1"/>
      <c r="K49154" s="1"/>
      <c r="L49154" s="1"/>
      <c r="M49154" s="1"/>
      <c r="N49154" s="1"/>
      <c r="O49154" s="1"/>
      <c r="P49154" s="1"/>
      <c r="Q49154" s="1"/>
      <c r="R49154" s="1"/>
      <c r="S49154" s="1"/>
      <c r="T49154" s="1"/>
      <c r="U49154" s="1"/>
      <c r="V49154" s="1"/>
      <c r="W49154" s="1"/>
      <c r="X49154" s="1"/>
      <c r="Y49154" s="1"/>
      <c r="Z49154" s="1"/>
      <c r="AA49154" s="1"/>
      <c r="AB49154" s="1"/>
      <c r="AC49154" s="1"/>
      <c r="AD49154" s="1"/>
      <c r="AE49154" s="1"/>
      <c r="AF49154" s="1"/>
      <c r="AG49154" s="1"/>
      <c r="AH49154" s="1"/>
      <c r="AI49154" s="1"/>
      <c r="AJ49154" s="1"/>
      <c r="AK49154" s="1"/>
      <c r="AL49154" s="1"/>
      <c r="AM49154" s="1"/>
      <c r="AN49154" s="1"/>
      <c r="AO49154" s="1"/>
      <c r="AP49154" s="1"/>
      <c r="AQ49154" s="1"/>
      <c r="AR49154" s="1"/>
      <c r="AS49154" s="1"/>
      <c r="AT49154" s="1"/>
      <c r="AU49154" s="1"/>
      <c r="AV49154" s="1"/>
      <c r="AW49154" s="1"/>
      <c r="AX49154" s="1"/>
      <c r="AY49154" s="1"/>
      <c r="AZ49154" s="1"/>
      <c r="BA49154" s="1"/>
      <c r="BB49154" s="1"/>
      <c r="BC49154" s="1"/>
    </row>
  </sheetData>
  <sheetProtection algorithmName="SHA-512" hashValue="d9ZoYcKKaUgemjOwyi3ebf+qU18ZeSykhmLZBpTpt8Cgjoc8N8pntTNwOPkJNcBioiohAdNoAT+NRS4Ejll1Xg==" saltValue="zaz6/ZFjTX3ytgZWIuM75Q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/>
  <dimension ref="A1:BD49154"/>
  <sheetViews>
    <sheetView topLeftCell="A2" zoomScaleNormal="100" workbookViewId="0">
      <pane xSplit="1" ySplit="1" topLeftCell="AF21" activePane="bottomRight" state="frozen"/>
      <selection activeCell="A2" sqref="A2"/>
      <selection pane="topRight" activeCell="B2" sqref="B2"/>
      <selection pane="bottomLeft" activeCell="A3" sqref="A3"/>
      <selection pane="bottomRight" activeCell="BC1" sqref="BC1"/>
    </sheetView>
  </sheetViews>
  <sheetFormatPr baseColWidth="10" defaultRowHeight="15" x14ac:dyDescent="0.2"/>
  <cols>
    <col min="1" max="1" width="29.5" bestFit="1" customWidth="1"/>
    <col min="36" max="36" width="10.33203125" customWidth="1"/>
  </cols>
  <sheetData>
    <row r="1" spans="1:56" ht="16" thickBot="1" x14ac:dyDescent="0.25">
      <c r="A1" s="2"/>
      <c r="B1" s="2"/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</row>
    <row r="2" spans="1:56" ht="16" thickBot="1" x14ac:dyDescent="0.25">
      <c r="A2" s="3" t="s">
        <v>0</v>
      </c>
      <c r="B2" s="8"/>
      <c r="C2" s="27" t="s">
        <v>29</v>
      </c>
      <c r="D2" s="27" t="s">
        <v>30</v>
      </c>
      <c r="E2" s="27" t="s">
        <v>31</v>
      </c>
      <c r="F2" s="27" t="s">
        <v>32</v>
      </c>
      <c r="G2" s="27" t="s">
        <v>33</v>
      </c>
      <c r="H2" s="27" t="s">
        <v>34</v>
      </c>
      <c r="I2" s="27" t="s">
        <v>35</v>
      </c>
      <c r="J2" s="27" t="s">
        <v>36</v>
      </c>
      <c r="K2" s="27" t="s">
        <v>37</v>
      </c>
      <c r="L2" s="27" t="s">
        <v>38</v>
      </c>
      <c r="M2" s="27" t="s">
        <v>39</v>
      </c>
      <c r="N2" s="27" t="s">
        <v>40</v>
      </c>
      <c r="O2" s="27" t="s">
        <v>41</v>
      </c>
      <c r="P2" s="27" t="s">
        <v>42</v>
      </c>
      <c r="Q2" s="27" t="s">
        <v>43</v>
      </c>
      <c r="R2" s="27" t="s">
        <v>44</v>
      </c>
      <c r="S2" s="27" t="s">
        <v>45</v>
      </c>
      <c r="T2" s="27" t="s">
        <v>46</v>
      </c>
      <c r="U2" s="27" t="s">
        <v>47</v>
      </c>
      <c r="V2" s="27" t="s">
        <v>48</v>
      </c>
      <c r="W2" s="27" t="s">
        <v>49</v>
      </c>
      <c r="X2" s="27" t="s">
        <v>50</v>
      </c>
      <c r="Y2" s="27" t="s">
        <v>51</v>
      </c>
      <c r="Z2" s="27" t="s">
        <v>52</v>
      </c>
      <c r="AA2" s="27" t="s">
        <v>53</v>
      </c>
      <c r="AB2" s="27" t="s">
        <v>54</v>
      </c>
      <c r="AC2" s="27" t="s">
        <v>55</v>
      </c>
      <c r="AD2" s="27" t="s">
        <v>56</v>
      </c>
      <c r="AE2" s="27" t="s">
        <v>57</v>
      </c>
      <c r="AF2" s="27" t="s">
        <v>58</v>
      </c>
      <c r="AG2" s="27" t="s">
        <v>59</v>
      </c>
      <c r="AH2" s="27" t="s">
        <v>60</v>
      </c>
      <c r="AI2" s="27" t="s">
        <v>61</v>
      </c>
      <c r="AJ2" s="27" t="s">
        <v>62</v>
      </c>
      <c r="AK2" s="27" t="s">
        <v>63</v>
      </c>
      <c r="AL2" s="27" t="s">
        <v>64</v>
      </c>
      <c r="AM2" s="27" t="s">
        <v>65</v>
      </c>
      <c r="AN2" s="27" t="s">
        <v>66</v>
      </c>
      <c r="AO2" s="27" t="s">
        <v>67</v>
      </c>
      <c r="AP2" s="27" t="s">
        <v>68</v>
      </c>
      <c r="AQ2" s="27" t="s">
        <v>69</v>
      </c>
      <c r="AR2" s="27" t="s">
        <v>70</v>
      </c>
      <c r="AS2" s="27" t="s">
        <v>71</v>
      </c>
      <c r="AT2" s="27" t="s">
        <v>72</v>
      </c>
      <c r="AU2" s="27" t="s">
        <v>73</v>
      </c>
      <c r="AV2" s="27" t="s">
        <v>74</v>
      </c>
      <c r="AW2" s="27" t="s">
        <v>75</v>
      </c>
      <c r="AX2" s="27" t="s">
        <v>76</v>
      </c>
      <c r="AY2" s="27" t="s">
        <v>77</v>
      </c>
      <c r="AZ2" s="27" t="s">
        <v>78</v>
      </c>
      <c r="BA2" s="27" t="s">
        <v>79</v>
      </c>
      <c r="BB2" s="27" t="s">
        <v>80</v>
      </c>
      <c r="BC2" s="27" t="s">
        <v>159</v>
      </c>
    </row>
    <row r="3" spans="1:56" s="96" customFormat="1" x14ac:dyDescent="0.2">
      <c r="A3" s="95" t="s">
        <v>1</v>
      </c>
      <c r="B3" s="68"/>
      <c r="C3" s="69">
        <v>0</v>
      </c>
      <c r="D3" s="69">
        <v>90</v>
      </c>
      <c r="E3" s="69">
        <v>30</v>
      </c>
      <c r="F3" s="69">
        <v>30</v>
      </c>
      <c r="G3" s="69">
        <v>602</v>
      </c>
      <c r="H3" s="69">
        <v>489</v>
      </c>
      <c r="I3" s="69"/>
      <c r="J3" s="69"/>
      <c r="K3" s="69">
        <v>237</v>
      </c>
      <c r="L3" s="69">
        <v>483</v>
      </c>
      <c r="M3" s="69">
        <v>150</v>
      </c>
      <c r="N3" s="69"/>
      <c r="O3" s="69">
        <v>222</v>
      </c>
      <c r="P3" s="69">
        <v>131</v>
      </c>
      <c r="Q3" s="69">
        <v>246</v>
      </c>
      <c r="R3" s="69">
        <v>257</v>
      </c>
      <c r="S3" s="69">
        <v>0</v>
      </c>
      <c r="T3" s="69">
        <v>160</v>
      </c>
      <c r="U3" s="69">
        <v>240</v>
      </c>
      <c r="V3" s="69">
        <v>135</v>
      </c>
      <c r="W3" s="69">
        <v>163</v>
      </c>
      <c r="X3" s="69">
        <v>19</v>
      </c>
      <c r="Y3" s="69">
        <v>281</v>
      </c>
      <c r="Z3" s="69">
        <v>281</v>
      </c>
      <c r="AA3" s="69">
        <v>330</v>
      </c>
      <c r="AB3" s="69">
        <v>221</v>
      </c>
      <c r="AC3" s="69">
        <v>2236</v>
      </c>
      <c r="AD3" s="69">
        <v>875</v>
      </c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>
        <v>1352</v>
      </c>
      <c r="AP3" s="69">
        <v>1122</v>
      </c>
      <c r="AQ3" s="69">
        <v>1336</v>
      </c>
      <c r="AR3" s="69">
        <v>3231</v>
      </c>
      <c r="AS3" s="69">
        <v>1500</v>
      </c>
      <c r="AT3" s="69">
        <v>377</v>
      </c>
      <c r="AU3" s="69">
        <v>1393</v>
      </c>
      <c r="AV3" s="69">
        <v>628</v>
      </c>
      <c r="AW3" s="69">
        <v>1426</v>
      </c>
      <c r="AX3" s="69">
        <v>1404</v>
      </c>
      <c r="AY3" s="69">
        <v>510</v>
      </c>
      <c r="AZ3" s="69">
        <v>196</v>
      </c>
      <c r="BA3" s="69">
        <v>510</v>
      </c>
      <c r="BB3" s="69">
        <v>707</v>
      </c>
      <c r="BC3" s="69">
        <v>1029</v>
      </c>
    </row>
    <row r="4" spans="1:56" s="96" customFormat="1" x14ac:dyDescent="0.2">
      <c r="A4" s="97" t="s">
        <v>2</v>
      </c>
      <c r="B4" s="70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</row>
    <row r="5" spans="1:56" s="96" customFormat="1" x14ac:dyDescent="0.2">
      <c r="A5" s="98" t="s">
        <v>3</v>
      </c>
      <c r="B5" s="70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</row>
    <row r="6" spans="1:56" s="96" customFormat="1" x14ac:dyDescent="0.2">
      <c r="A6" s="98" t="s">
        <v>4</v>
      </c>
      <c r="B6" s="70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</row>
    <row r="7" spans="1:56" s="96" customFormat="1" ht="16" thickBot="1" x14ac:dyDescent="0.25">
      <c r="A7" s="99" t="s">
        <v>5</v>
      </c>
      <c r="B7" s="73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</row>
    <row r="8" spans="1:56" s="96" customFormat="1" ht="16" thickBot="1" x14ac:dyDescent="0.25">
      <c r="A8" s="76"/>
      <c r="B8" s="75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</row>
    <row r="9" spans="1:56" s="96" customFormat="1" x14ac:dyDescent="0.2">
      <c r="A9" s="100" t="s">
        <v>6</v>
      </c>
      <c r="B9" s="77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</row>
    <row r="10" spans="1:56" s="96" customFormat="1" x14ac:dyDescent="0.2">
      <c r="A10" s="101" t="s">
        <v>7</v>
      </c>
      <c r="B10" s="79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</row>
    <row r="11" spans="1:56" s="96" customFormat="1" x14ac:dyDescent="0.2">
      <c r="A11" s="102" t="s">
        <v>8</v>
      </c>
      <c r="B11" s="81"/>
      <c r="C11" s="82">
        <v>3122</v>
      </c>
      <c r="D11" s="82">
        <v>2491</v>
      </c>
      <c r="E11" s="82">
        <v>1905</v>
      </c>
      <c r="F11" s="82">
        <v>1984</v>
      </c>
      <c r="G11" s="82">
        <v>2060</v>
      </c>
      <c r="H11" s="82">
        <v>1237</v>
      </c>
      <c r="I11" s="82">
        <v>781</v>
      </c>
      <c r="J11" s="82">
        <v>1210</v>
      </c>
      <c r="K11" s="82">
        <v>1669</v>
      </c>
      <c r="L11" s="82">
        <v>3778</v>
      </c>
      <c r="M11" s="82">
        <v>2518</v>
      </c>
      <c r="N11" s="82">
        <v>2992</v>
      </c>
      <c r="O11" s="82">
        <v>5192</v>
      </c>
      <c r="P11" s="82">
        <v>3932</v>
      </c>
      <c r="Q11" s="82">
        <v>3860</v>
      </c>
      <c r="R11" s="82">
        <v>3788</v>
      </c>
      <c r="S11" s="82">
        <v>5272</v>
      </c>
      <c r="T11" s="82">
        <v>4642</v>
      </c>
      <c r="U11" s="82">
        <v>3382</v>
      </c>
      <c r="V11" s="82">
        <v>5992</v>
      </c>
      <c r="W11" s="82">
        <v>5326</v>
      </c>
      <c r="X11" s="82">
        <v>5477</v>
      </c>
      <c r="Y11" s="82">
        <v>4377</v>
      </c>
      <c r="Z11" s="82">
        <v>6142</v>
      </c>
      <c r="AA11" s="82">
        <v>5053</v>
      </c>
      <c r="AB11" s="82">
        <v>3994</v>
      </c>
      <c r="AC11" s="82">
        <v>2938</v>
      </c>
      <c r="AD11" s="82">
        <v>4220</v>
      </c>
      <c r="AE11" s="82">
        <v>3555</v>
      </c>
      <c r="AF11" s="82">
        <v>3922</v>
      </c>
      <c r="AG11" s="82">
        <v>1645</v>
      </c>
      <c r="AH11" s="82">
        <v>1564</v>
      </c>
      <c r="AI11" s="82">
        <v>29</v>
      </c>
      <c r="AJ11" s="82">
        <v>1116</v>
      </c>
      <c r="AK11" s="82">
        <v>2720</v>
      </c>
      <c r="AL11" s="82">
        <v>2238</v>
      </c>
      <c r="AM11" s="82">
        <v>2961</v>
      </c>
      <c r="AN11" s="82">
        <v>1449</v>
      </c>
      <c r="AO11" s="82">
        <v>1337</v>
      </c>
      <c r="AP11" s="82">
        <v>2511</v>
      </c>
      <c r="AQ11" s="82">
        <v>2363</v>
      </c>
      <c r="AR11" s="82">
        <v>1690</v>
      </c>
      <c r="AS11" s="82">
        <v>4090</v>
      </c>
      <c r="AT11" s="82">
        <v>3701</v>
      </c>
      <c r="AU11" s="82">
        <v>4829</v>
      </c>
      <c r="AV11" s="82">
        <v>5202</v>
      </c>
      <c r="AW11" s="82">
        <v>2241</v>
      </c>
      <c r="AX11" s="82">
        <v>4420</v>
      </c>
      <c r="AY11" s="82">
        <v>1900</v>
      </c>
      <c r="AZ11" s="82">
        <v>3728</v>
      </c>
      <c r="BA11" s="82">
        <v>5265</v>
      </c>
      <c r="BB11" s="82">
        <v>2880</v>
      </c>
      <c r="BC11" s="82">
        <v>3080</v>
      </c>
      <c r="BD11" s="110"/>
    </row>
    <row r="12" spans="1:56" s="96" customFormat="1" x14ac:dyDescent="0.2">
      <c r="A12" s="102" t="s">
        <v>9</v>
      </c>
      <c r="B12" s="81"/>
      <c r="C12" s="83">
        <v>900</v>
      </c>
      <c r="D12" s="83">
        <v>785</v>
      </c>
      <c r="E12" s="83">
        <v>814</v>
      </c>
      <c r="F12" s="83">
        <v>852</v>
      </c>
      <c r="G12" s="83">
        <v>222</v>
      </c>
      <c r="H12" s="83">
        <v>421</v>
      </c>
      <c r="I12" s="83">
        <v>21</v>
      </c>
      <c r="J12" s="83">
        <v>1309</v>
      </c>
      <c r="K12" s="83">
        <v>289</v>
      </c>
      <c r="L12" s="83">
        <v>1799</v>
      </c>
      <c r="M12" s="83">
        <v>1799</v>
      </c>
      <c r="N12" s="83">
        <v>1799</v>
      </c>
      <c r="O12" s="83">
        <v>1799</v>
      </c>
      <c r="P12" s="83">
        <v>1799</v>
      </c>
      <c r="Q12" s="83">
        <v>1799</v>
      </c>
      <c r="R12" s="83">
        <v>1799</v>
      </c>
      <c r="S12" s="83">
        <v>1799</v>
      </c>
      <c r="T12" s="83">
        <v>1799</v>
      </c>
      <c r="U12" s="83">
        <v>1070</v>
      </c>
      <c r="V12" s="83">
        <v>1070</v>
      </c>
      <c r="W12" s="83">
        <v>1070</v>
      </c>
      <c r="X12" s="83">
        <v>1751</v>
      </c>
      <c r="Y12" s="83">
        <v>1400</v>
      </c>
      <c r="Z12" s="83">
        <v>959</v>
      </c>
      <c r="AA12" s="83">
        <v>680</v>
      </c>
      <c r="AB12" s="83">
        <v>291</v>
      </c>
      <c r="AC12" s="83">
        <v>1636</v>
      </c>
      <c r="AD12" s="83">
        <v>1006</v>
      </c>
      <c r="AE12" s="83">
        <v>1006</v>
      </c>
      <c r="AF12" s="83">
        <v>439</v>
      </c>
      <c r="AG12" s="83">
        <v>439</v>
      </c>
      <c r="AH12" s="83">
        <v>699</v>
      </c>
      <c r="AI12" s="83">
        <v>6</v>
      </c>
      <c r="AJ12" s="83">
        <v>334</v>
      </c>
      <c r="AK12" s="83">
        <v>19</v>
      </c>
      <c r="AL12" s="83">
        <v>1824</v>
      </c>
      <c r="AM12" s="83">
        <v>2917</v>
      </c>
      <c r="AN12" s="83">
        <v>2287</v>
      </c>
      <c r="AO12" s="83">
        <v>1270</v>
      </c>
      <c r="AP12" s="83">
        <v>1270</v>
      </c>
      <c r="AQ12" s="83">
        <v>640</v>
      </c>
      <c r="AR12" s="83">
        <v>1161</v>
      </c>
      <c r="AS12" s="83">
        <v>1161</v>
      </c>
      <c r="AT12" s="83">
        <v>1218</v>
      </c>
      <c r="AU12" s="83">
        <v>588</v>
      </c>
      <c r="AV12" s="83">
        <v>1658</v>
      </c>
      <c r="AW12" s="83">
        <v>1154</v>
      </c>
      <c r="AX12" s="83">
        <v>2156</v>
      </c>
      <c r="AY12" s="83">
        <v>1778</v>
      </c>
      <c r="AZ12" s="83">
        <v>1004</v>
      </c>
      <c r="BA12" s="83">
        <v>3528</v>
      </c>
      <c r="BB12" s="83">
        <v>2583</v>
      </c>
      <c r="BC12" s="83">
        <v>1728</v>
      </c>
      <c r="BD12" s="110"/>
    </row>
    <row r="13" spans="1:56" s="96" customFormat="1" x14ac:dyDescent="0.2">
      <c r="A13" s="102" t="s">
        <v>10</v>
      </c>
      <c r="B13" s="81"/>
      <c r="C13" s="82">
        <v>1963</v>
      </c>
      <c r="D13" s="82">
        <v>1699</v>
      </c>
      <c r="E13" s="82">
        <v>1309</v>
      </c>
      <c r="F13" s="82">
        <v>1010</v>
      </c>
      <c r="G13" s="82">
        <v>1269</v>
      </c>
      <c r="H13" s="82">
        <v>710</v>
      </c>
      <c r="I13" s="82">
        <v>1215</v>
      </c>
      <c r="J13" s="82">
        <v>422</v>
      </c>
      <c r="K13" s="82">
        <v>832</v>
      </c>
      <c r="L13" s="82">
        <v>637</v>
      </c>
      <c r="M13" s="82">
        <v>762</v>
      </c>
      <c r="N13" s="82">
        <v>2792</v>
      </c>
      <c r="O13" s="82">
        <v>2496</v>
      </c>
      <c r="P13" s="82">
        <v>2823</v>
      </c>
      <c r="Q13" s="82">
        <v>2819</v>
      </c>
      <c r="R13" s="82">
        <v>3440</v>
      </c>
      <c r="S13" s="82">
        <v>3148</v>
      </c>
      <c r="T13" s="82">
        <v>3604</v>
      </c>
      <c r="U13" s="82">
        <v>3416</v>
      </c>
      <c r="V13" s="82">
        <v>3126</v>
      </c>
      <c r="W13" s="82">
        <v>3693</v>
      </c>
      <c r="X13" s="82">
        <v>3432</v>
      </c>
      <c r="Y13" s="82">
        <v>2774</v>
      </c>
      <c r="Z13" s="82">
        <v>1874</v>
      </c>
      <c r="AA13" s="82">
        <v>1752</v>
      </c>
      <c r="AB13" s="82">
        <v>1998</v>
      </c>
      <c r="AC13" s="82">
        <v>1442</v>
      </c>
      <c r="AD13" s="82">
        <v>1620</v>
      </c>
      <c r="AE13" s="82">
        <v>1751</v>
      </c>
      <c r="AF13" s="82">
        <v>181</v>
      </c>
      <c r="AG13" s="82"/>
      <c r="AH13" s="82">
        <v>0</v>
      </c>
      <c r="AI13" s="82">
        <v>8</v>
      </c>
      <c r="AJ13" s="82">
        <v>1192</v>
      </c>
      <c r="AK13" s="82">
        <v>1767</v>
      </c>
      <c r="AL13" s="82">
        <v>945</v>
      </c>
      <c r="AM13" s="82">
        <v>1405</v>
      </c>
      <c r="AN13" s="82">
        <v>1169</v>
      </c>
      <c r="AO13" s="82">
        <v>402</v>
      </c>
      <c r="AP13" s="82">
        <v>1255</v>
      </c>
      <c r="AQ13" s="82">
        <v>850</v>
      </c>
      <c r="AR13" s="82">
        <v>672</v>
      </c>
      <c r="AS13" s="82">
        <v>2003</v>
      </c>
      <c r="AT13" s="82">
        <v>1063</v>
      </c>
      <c r="AU13" s="82">
        <v>3</v>
      </c>
      <c r="AV13" s="82"/>
      <c r="AW13" s="82">
        <v>2326</v>
      </c>
      <c r="AX13" s="82">
        <v>1258</v>
      </c>
      <c r="AY13" s="82">
        <v>1663</v>
      </c>
      <c r="AZ13" s="82">
        <v>1300</v>
      </c>
      <c r="BA13" s="82">
        <v>1914</v>
      </c>
      <c r="BB13" s="82">
        <v>2852</v>
      </c>
      <c r="BC13" s="82">
        <v>2034</v>
      </c>
      <c r="BD13" s="110"/>
    </row>
    <row r="14" spans="1:56" s="96" customFormat="1" ht="16" thickBot="1" x14ac:dyDescent="0.25">
      <c r="A14" s="103" t="s">
        <v>11</v>
      </c>
      <c r="B14" s="84"/>
      <c r="C14" s="85">
        <v>451</v>
      </c>
      <c r="D14" s="85">
        <v>415</v>
      </c>
      <c r="E14" s="85">
        <v>588</v>
      </c>
      <c r="F14" s="85">
        <v>470</v>
      </c>
      <c r="G14" s="85">
        <v>226</v>
      </c>
      <c r="H14" s="85">
        <v>176</v>
      </c>
      <c r="I14" s="85">
        <v>34</v>
      </c>
      <c r="J14" s="85">
        <v>270</v>
      </c>
      <c r="K14" s="85">
        <v>356</v>
      </c>
      <c r="L14" s="85">
        <v>736</v>
      </c>
      <c r="M14" s="85">
        <v>436</v>
      </c>
      <c r="N14" s="85">
        <v>812</v>
      </c>
      <c r="O14" s="85">
        <v>812</v>
      </c>
      <c r="P14" s="85">
        <v>943</v>
      </c>
      <c r="Q14" s="85">
        <v>943</v>
      </c>
      <c r="R14" s="85">
        <v>1067</v>
      </c>
      <c r="S14" s="85">
        <v>1600</v>
      </c>
      <c r="T14" s="85">
        <v>1528</v>
      </c>
      <c r="U14" s="85">
        <v>1380</v>
      </c>
      <c r="V14" s="85">
        <v>1768</v>
      </c>
      <c r="W14" s="85">
        <v>1408</v>
      </c>
      <c r="X14" s="85">
        <v>1564</v>
      </c>
      <c r="Y14" s="85">
        <v>1528</v>
      </c>
      <c r="Z14" s="85">
        <v>1228</v>
      </c>
      <c r="AA14" s="85">
        <v>988</v>
      </c>
      <c r="AB14" s="85">
        <v>748</v>
      </c>
      <c r="AC14" s="85">
        <v>1217</v>
      </c>
      <c r="AD14" s="85">
        <v>977</v>
      </c>
      <c r="AE14" s="85">
        <v>557</v>
      </c>
      <c r="AF14" s="85">
        <v>216</v>
      </c>
      <c r="AG14" s="85"/>
      <c r="AH14" s="85">
        <v>0</v>
      </c>
      <c r="AI14" s="85">
        <v>59</v>
      </c>
      <c r="AJ14" s="85">
        <v>338</v>
      </c>
      <c r="AK14" s="85">
        <v>185</v>
      </c>
      <c r="AL14" s="85">
        <v>670</v>
      </c>
      <c r="AM14" s="85">
        <v>1052</v>
      </c>
      <c r="AN14" s="85">
        <v>452</v>
      </c>
      <c r="AO14" s="85">
        <v>176</v>
      </c>
      <c r="AP14" s="85">
        <v>1005</v>
      </c>
      <c r="AQ14" s="85">
        <v>1058</v>
      </c>
      <c r="AR14" s="85">
        <v>768</v>
      </c>
      <c r="AS14" s="85">
        <v>480</v>
      </c>
      <c r="AT14" s="85">
        <v>483</v>
      </c>
      <c r="AU14" s="85">
        <v>246</v>
      </c>
      <c r="AV14" s="85"/>
      <c r="AW14" s="85">
        <v>396</v>
      </c>
      <c r="AX14" s="85">
        <v>800</v>
      </c>
      <c r="AY14" s="85">
        <v>440</v>
      </c>
      <c r="AZ14" s="85">
        <v>598</v>
      </c>
      <c r="BA14" s="85">
        <v>1061</v>
      </c>
      <c r="BB14" s="85">
        <v>939</v>
      </c>
      <c r="BC14" s="85">
        <v>534</v>
      </c>
      <c r="BD14" s="110"/>
    </row>
    <row r="15" spans="1:56" s="96" customFormat="1" x14ac:dyDescent="0.2">
      <c r="A15" s="104" t="s">
        <v>6</v>
      </c>
      <c r="B15" s="86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110"/>
    </row>
    <row r="16" spans="1:56" s="96" customFormat="1" x14ac:dyDescent="0.2">
      <c r="A16" s="101" t="s">
        <v>7</v>
      </c>
      <c r="B16" s="79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110"/>
    </row>
    <row r="17" spans="1:56" s="96" customFormat="1" x14ac:dyDescent="0.2">
      <c r="A17" s="102" t="s">
        <v>12</v>
      </c>
      <c r="B17" s="81"/>
      <c r="C17" s="82">
        <v>218</v>
      </c>
      <c r="D17" s="82">
        <v>321</v>
      </c>
      <c r="E17" s="82">
        <v>164</v>
      </c>
      <c r="F17" s="82">
        <v>215</v>
      </c>
      <c r="G17" s="82">
        <v>53</v>
      </c>
      <c r="H17" s="82">
        <v>145</v>
      </c>
      <c r="I17" s="82">
        <v>38</v>
      </c>
      <c r="J17" s="82">
        <v>246</v>
      </c>
      <c r="K17" s="82">
        <v>57</v>
      </c>
      <c r="L17" s="82">
        <v>277</v>
      </c>
      <c r="M17" s="82">
        <v>756</v>
      </c>
      <c r="N17" s="82">
        <v>657</v>
      </c>
      <c r="O17" s="82">
        <v>909</v>
      </c>
      <c r="P17" s="82">
        <v>1185</v>
      </c>
      <c r="Q17" s="82">
        <v>1787</v>
      </c>
      <c r="R17" s="82">
        <v>1660</v>
      </c>
      <c r="S17" s="82">
        <v>1732</v>
      </c>
      <c r="T17" s="82">
        <v>1658</v>
      </c>
      <c r="U17" s="82">
        <v>1286</v>
      </c>
      <c r="V17" s="82">
        <v>1012</v>
      </c>
      <c r="W17" s="82">
        <v>702</v>
      </c>
      <c r="X17" s="82">
        <v>129</v>
      </c>
      <c r="Y17" s="82">
        <v>289</v>
      </c>
      <c r="Z17" s="82">
        <v>195</v>
      </c>
      <c r="AA17" s="82">
        <v>109</v>
      </c>
      <c r="AB17" s="82">
        <v>260</v>
      </c>
      <c r="AC17" s="82">
        <v>112</v>
      </c>
      <c r="AD17" s="82">
        <v>72</v>
      </c>
      <c r="AE17" s="82">
        <v>5</v>
      </c>
      <c r="AF17" s="82">
        <v>5</v>
      </c>
      <c r="AG17" s="82">
        <v>269</v>
      </c>
      <c r="AH17" s="82">
        <v>166</v>
      </c>
      <c r="AI17" s="82">
        <v>244</v>
      </c>
      <c r="AJ17" s="82">
        <v>203</v>
      </c>
      <c r="AK17" s="82">
        <v>583</v>
      </c>
      <c r="AL17" s="82">
        <v>455</v>
      </c>
      <c r="AM17" s="82">
        <v>439</v>
      </c>
      <c r="AN17" s="82">
        <v>223</v>
      </c>
      <c r="AO17" s="82">
        <v>180</v>
      </c>
      <c r="AP17" s="82">
        <v>396</v>
      </c>
      <c r="AQ17" s="82">
        <v>152</v>
      </c>
      <c r="AR17" s="82">
        <v>173</v>
      </c>
      <c r="AS17" s="82">
        <v>308</v>
      </c>
      <c r="AT17" s="82">
        <v>120</v>
      </c>
      <c r="AU17" s="82">
        <v>222</v>
      </c>
      <c r="AV17" s="82">
        <v>237</v>
      </c>
      <c r="AW17" s="82">
        <v>374</v>
      </c>
      <c r="AX17" s="82">
        <v>285</v>
      </c>
      <c r="AY17" s="82">
        <v>308</v>
      </c>
      <c r="AZ17" s="82">
        <v>166</v>
      </c>
      <c r="BA17" s="82">
        <v>85</v>
      </c>
      <c r="BB17" s="82">
        <v>285</v>
      </c>
      <c r="BC17" s="82">
        <v>332</v>
      </c>
      <c r="BD17" s="110"/>
    </row>
    <row r="18" spans="1:56" s="96" customFormat="1" x14ac:dyDescent="0.2">
      <c r="A18" s="102" t="s">
        <v>13</v>
      </c>
      <c r="B18" s="81"/>
      <c r="C18" s="82">
        <v>106</v>
      </c>
      <c r="D18" s="82">
        <v>43</v>
      </c>
      <c r="E18" s="82">
        <v>79</v>
      </c>
      <c r="F18" s="82">
        <v>70</v>
      </c>
      <c r="G18" s="82">
        <v>0</v>
      </c>
      <c r="H18" s="82"/>
      <c r="I18" s="82"/>
      <c r="J18" s="82"/>
      <c r="K18" s="82"/>
      <c r="L18" s="82"/>
      <c r="M18" s="82"/>
      <c r="N18" s="82">
        <v>144</v>
      </c>
      <c r="O18" s="82">
        <v>173</v>
      </c>
      <c r="P18" s="82">
        <v>81</v>
      </c>
      <c r="Q18" s="82">
        <v>82</v>
      </c>
      <c r="R18" s="82">
        <v>143</v>
      </c>
      <c r="S18" s="82">
        <v>111</v>
      </c>
      <c r="T18" s="82">
        <v>126</v>
      </c>
      <c r="U18" s="82">
        <v>159</v>
      </c>
      <c r="V18" s="82">
        <v>258</v>
      </c>
      <c r="W18" s="82">
        <v>322</v>
      </c>
      <c r="X18" s="82">
        <v>178</v>
      </c>
      <c r="Y18" s="82">
        <v>107</v>
      </c>
      <c r="Z18" s="82">
        <v>95</v>
      </c>
      <c r="AA18" s="82">
        <v>136</v>
      </c>
      <c r="AB18" s="82">
        <v>73</v>
      </c>
      <c r="AC18" s="82">
        <v>60</v>
      </c>
      <c r="AD18" s="82">
        <v>163</v>
      </c>
      <c r="AE18" s="82">
        <v>11</v>
      </c>
      <c r="AF18" s="82">
        <v>3</v>
      </c>
      <c r="AG18" s="82">
        <v>3</v>
      </c>
      <c r="AH18" s="82">
        <v>113</v>
      </c>
      <c r="AI18" s="82">
        <v>269</v>
      </c>
      <c r="AJ18" s="82">
        <v>222</v>
      </c>
      <c r="AK18" s="82">
        <v>291</v>
      </c>
      <c r="AL18" s="82">
        <v>243</v>
      </c>
      <c r="AM18" s="82">
        <v>195</v>
      </c>
      <c r="AN18" s="82">
        <v>144</v>
      </c>
      <c r="AO18" s="82">
        <v>27</v>
      </c>
      <c r="AP18" s="82">
        <v>71</v>
      </c>
      <c r="AQ18" s="82">
        <v>78</v>
      </c>
      <c r="AR18" s="82">
        <v>208</v>
      </c>
      <c r="AS18" s="82">
        <v>89</v>
      </c>
      <c r="AT18" s="82">
        <v>6</v>
      </c>
      <c r="AU18" s="82">
        <v>64</v>
      </c>
      <c r="AV18" s="82">
        <v>62</v>
      </c>
      <c r="AW18" s="82">
        <v>177</v>
      </c>
      <c r="AX18" s="82">
        <v>96</v>
      </c>
      <c r="AY18" s="82">
        <v>99</v>
      </c>
      <c r="AZ18" s="82">
        <v>45</v>
      </c>
      <c r="BA18" s="82">
        <v>17</v>
      </c>
      <c r="BB18" s="82">
        <v>25</v>
      </c>
      <c r="BC18" s="82">
        <v>85</v>
      </c>
      <c r="BD18" s="110"/>
    </row>
    <row r="19" spans="1:56" s="130" customFormat="1" x14ac:dyDescent="0.2">
      <c r="A19" s="129" t="s">
        <v>133</v>
      </c>
      <c r="B19" s="81"/>
      <c r="C19" s="128">
        <v>532</v>
      </c>
      <c r="D19" s="128">
        <v>863</v>
      </c>
      <c r="E19" s="128">
        <v>547</v>
      </c>
      <c r="F19" s="128">
        <v>295</v>
      </c>
      <c r="G19" s="128">
        <v>295</v>
      </c>
      <c r="H19" s="128">
        <v>295</v>
      </c>
      <c r="I19" s="128">
        <v>486</v>
      </c>
      <c r="J19" s="128">
        <v>286</v>
      </c>
      <c r="K19" s="128">
        <v>225</v>
      </c>
      <c r="L19" s="128">
        <v>533</v>
      </c>
      <c r="M19" s="128">
        <v>1099</v>
      </c>
      <c r="N19" s="128">
        <v>1099</v>
      </c>
      <c r="O19" s="128">
        <v>910</v>
      </c>
      <c r="P19" s="128">
        <v>910</v>
      </c>
      <c r="Q19" s="128">
        <v>910</v>
      </c>
      <c r="R19" s="128">
        <v>1215</v>
      </c>
      <c r="S19" s="128">
        <v>1215</v>
      </c>
      <c r="T19" s="128">
        <v>1215</v>
      </c>
      <c r="U19" s="128">
        <v>1224</v>
      </c>
      <c r="V19" s="128">
        <v>1224</v>
      </c>
      <c r="W19" s="128">
        <v>1224</v>
      </c>
      <c r="X19" s="128">
        <v>1531</v>
      </c>
      <c r="Y19" s="128">
        <v>1405</v>
      </c>
      <c r="Z19" s="128">
        <v>1279</v>
      </c>
      <c r="AA19" s="128">
        <v>1279</v>
      </c>
      <c r="AB19" s="128">
        <v>1606</v>
      </c>
      <c r="AC19" s="128">
        <v>1606</v>
      </c>
      <c r="AD19" s="128">
        <v>1606</v>
      </c>
      <c r="AE19" s="128">
        <v>1354</v>
      </c>
      <c r="AF19" s="128">
        <v>787</v>
      </c>
      <c r="AG19" s="128">
        <v>535</v>
      </c>
      <c r="AH19" s="128">
        <v>31</v>
      </c>
      <c r="AI19" s="128">
        <v>31</v>
      </c>
      <c r="AJ19" s="128">
        <v>840</v>
      </c>
      <c r="AK19" s="128">
        <v>588</v>
      </c>
      <c r="AL19" s="128">
        <v>588</v>
      </c>
      <c r="AM19" s="128">
        <v>1033</v>
      </c>
      <c r="AN19" s="128">
        <v>1033</v>
      </c>
      <c r="AO19" s="128">
        <v>718</v>
      </c>
      <c r="AP19" s="128">
        <v>340</v>
      </c>
      <c r="AQ19" s="128">
        <v>551</v>
      </c>
      <c r="AR19" s="128">
        <v>616</v>
      </c>
      <c r="AS19" s="128">
        <v>616</v>
      </c>
      <c r="AT19" s="128">
        <v>920</v>
      </c>
      <c r="AU19" s="128">
        <v>794</v>
      </c>
      <c r="AV19" s="128">
        <v>678</v>
      </c>
      <c r="AW19" s="128">
        <v>426</v>
      </c>
      <c r="AX19" s="128">
        <v>426</v>
      </c>
      <c r="AY19" s="128">
        <v>993</v>
      </c>
      <c r="AZ19" s="128">
        <v>678</v>
      </c>
      <c r="BA19" s="128">
        <v>1263</v>
      </c>
      <c r="BB19" s="128">
        <v>1263</v>
      </c>
      <c r="BC19" s="128">
        <v>1259</v>
      </c>
      <c r="BD19" s="131"/>
    </row>
    <row r="20" spans="1:56" s="96" customFormat="1" ht="16" thickBot="1" x14ac:dyDescent="0.25">
      <c r="A20" s="103" t="s">
        <v>135</v>
      </c>
      <c r="B20" s="127"/>
      <c r="C20" s="128">
        <v>234</v>
      </c>
      <c r="D20" s="128">
        <v>298</v>
      </c>
      <c r="E20" s="128">
        <v>279</v>
      </c>
      <c r="F20" s="128">
        <v>131</v>
      </c>
      <c r="G20" s="128">
        <v>5</v>
      </c>
      <c r="H20" s="128">
        <v>6</v>
      </c>
      <c r="I20" s="128">
        <v>154</v>
      </c>
      <c r="J20" s="128">
        <v>284</v>
      </c>
      <c r="K20" s="128">
        <v>314</v>
      </c>
      <c r="L20" s="128">
        <v>251</v>
      </c>
      <c r="M20" s="128">
        <v>576</v>
      </c>
      <c r="N20" s="128">
        <v>640</v>
      </c>
      <c r="O20" s="128">
        <v>512</v>
      </c>
      <c r="P20" s="128">
        <v>981</v>
      </c>
      <c r="Q20" s="128">
        <v>981</v>
      </c>
      <c r="R20" s="128">
        <v>1391</v>
      </c>
      <c r="S20" s="128">
        <v>1437</v>
      </c>
      <c r="T20" s="128">
        <v>1437</v>
      </c>
      <c r="U20" s="128">
        <v>1455</v>
      </c>
      <c r="V20" s="128">
        <v>1455</v>
      </c>
      <c r="W20" s="128">
        <v>1455</v>
      </c>
      <c r="X20" s="128">
        <v>1689</v>
      </c>
      <c r="Y20" s="128">
        <v>1497</v>
      </c>
      <c r="Z20" s="128">
        <v>1497</v>
      </c>
      <c r="AA20" s="128">
        <v>1049</v>
      </c>
      <c r="AB20" s="128">
        <v>1384</v>
      </c>
      <c r="AC20" s="128">
        <v>1062</v>
      </c>
      <c r="AD20" s="128">
        <v>806</v>
      </c>
      <c r="AE20" s="128">
        <v>486</v>
      </c>
      <c r="AF20" s="128"/>
      <c r="AG20" s="128"/>
      <c r="AH20" s="128">
        <v>157</v>
      </c>
      <c r="AI20" s="128">
        <v>22</v>
      </c>
      <c r="AJ20" s="128">
        <v>142</v>
      </c>
      <c r="AK20" s="128">
        <v>455</v>
      </c>
      <c r="AL20" s="128">
        <v>472</v>
      </c>
      <c r="AM20" s="128">
        <v>705</v>
      </c>
      <c r="AN20" s="128">
        <v>193</v>
      </c>
      <c r="AO20" s="128">
        <v>64</v>
      </c>
      <c r="AP20" s="128">
        <v>544</v>
      </c>
      <c r="AQ20" s="128">
        <v>213</v>
      </c>
      <c r="AR20" s="128">
        <v>391</v>
      </c>
      <c r="AS20" s="128">
        <v>231</v>
      </c>
      <c r="AT20" s="128">
        <v>395</v>
      </c>
      <c r="AU20" s="128">
        <v>267</v>
      </c>
      <c r="AV20" s="128">
        <v>572</v>
      </c>
      <c r="AW20" s="128">
        <v>188</v>
      </c>
      <c r="AX20" s="128">
        <v>702</v>
      </c>
      <c r="AY20" s="128">
        <v>918</v>
      </c>
      <c r="AZ20" s="128">
        <v>694</v>
      </c>
      <c r="BA20" s="128">
        <v>496</v>
      </c>
      <c r="BB20" s="128">
        <v>801</v>
      </c>
      <c r="BC20" s="128">
        <v>296</v>
      </c>
      <c r="BD20" s="110"/>
    </row>
    <row r="21" spans="1:56" s="96" customFormat="1" x14ac:dyDescent="0.2">
      <c r="A21" s="100" t="s">
        <v>6</v>
      </c>
      <c r="B21" s="77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113"/>
      <c r="BC21" s="113"/>
      <c r="BD21" s="110"/>
    </row>
    <row r="22" spans="1:56" s="96" customFormat="1" x14ac:dyDescent="0.2">
      <c r="A22" s="101" t="s">
        <v>7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110"/>
    </row>
    <row r="23" spans="1:56" s="96" customFormat="1" x14ac:dyDescent="0.2">
      <c r="A23" s="102" t="s">
        <v>14</v>
      </c>
      <c r="B23" s="81"/>
      <c r="C23" s="82">
        <v>340</v>
      </c>
      <c r="D23" s="82">
        <v>220</v>
      </c>
      <c r="E23" s="82">
        <v>220</v>
      </c>
      <c r="F23" s="82">
        <v>172</v>
      </c>
      <c r="G23" s="82">
        <v>488</v>
      </c>
      <c r="H23" s="82">
        <v>246</v>
      </c>
      <c r="I23" s="82">
        <v>6</v>
      </c>
      <c r="J23" s="82">
        <v>56</v>
      </c>
      <c r="K23" s="82">
        <v>250</v>
      </c>
      <c r="L23" s="82">
        <v>121</v>
      </c>
      <c r="M23" s="82">
        <v>240</v>
      </c>
      <c r="N23" s="82">
        <v>240</v>
      </c>
      <c r="O23" s="82">
        <v>607</v>
      </c>
      <c r="P23" s="82">
        <v>624</v>
      </c>
      <c r="Q23" s="82">
        <v>1017</v>
      </c>
      <c r="R23" s="82">
        <v>1017</v>
      </c>
      <c r="S23" s="82">
        <v>1152</v>
      </c>
      <c r="T23" s="82">
        <v>1279</v>
      </c>
      <c r="U23" s="82">
        <v>1406</v>
      </c>
      <c r="V23" s="82">
        <v>1286</v>
      </c>
      <c r="W23" s="82">
        <v>1046</v>
      </c>
      <c r="X23" s="82">
        <v>1158</v>
      </c>
      <c r="Y23" s="82">
        <v>1300</v>
      </c>
      <c r="Z23" s="82">
        <v>1300</v>
      </c>
      <c r="AA23" s="82">
        <v>1180</v>
      </c>
      <c r="AB23" s="82">
        <v>1060</v>
      </c>
      <c r="AC23" s="82">
        <v>1060</v>
      </c>
      <c r="AD23" s="82">
        <v>868</v>
      </c>
      <c r="AE23" s="82">
        <v>676</v>
      </c>
      <c r="AF23" s="82">
        <v>676</v>
      </c>
      <c r="AG23" s="82">
        <v>436</v>
      </c>
      <c r="AH23" s="82">
        <v>436</v>
      </c>
      <c r="AI23" s="82">
        <v>243</v>
      </c>
      <c r="AJ23" s="82">
        <v>243</v>
      </c>
      <c r="AK23" s="82">
        <v>99</v>
      </c>
      <c r="AL23" s="82">
        <v>195</v>
      </c>
      <c r="AM23" s="82">
        <v>75</v>
      </c>
      <c r="AN23" s="82">
        <v>256</v>
      </c>
      <c r="AO23" s="82">
        <v>136</v>
      </c>
      <c r="AP23" s="82">
        <v>315</v>
      </c>
      <c r="AQ23" s="82">
        <v>127</v>
      </c>
      <c r="AR23" s="82">
        <v>55</v>
      </c>
      <c r="AS23" s="82">
        <v>0</v>
      </c>
      <c r="AT23" s="82"/>
      <c r="AU23" s="82"/>
      <c r="AV23" s="82"/>
      <c r="AW23" s="82"/>
      <c r="AX23" s="82">
        <v>0</v>
      </c>
      <c r="AY23" s="82">
        <v>5</v>
      </c>
      <c r="AZ23" s="82">
        <v>5</v>
      </c>
      <c r="BA23" s="82">
        <v>5</v>
      </c>
      <c r="BB23" s="82">
        <v>5</v>
      </c>
      <c r="BC23" s="82">
        <v>321</v>
      </c>
      <c r="BD23" s="110"/>
    </row>
    <row r="24" spans="1:56" s="96" customFormat="1" ht="16" thickBot="1" x14ac:dyDescent="0.25">
      <c r="A24" s="106" t="s">
        <v>15</v>
      </c>
      <c r="B24" s="84"/>
      <c r="C24" s="83">
        <v>1414</v>
      </c>
      <c r="D24" s="83">
        <v>1078</v>
      </c>
      <c r="E24" s="83">
        <v>850</v>
      </c>
      <c r="F24" s="83">
        <v>422</v>
      </c>
      <c r="G24" s="83">
        <v>1088</v>
      </c>
      <c r="H24" s="83">
        <v>703</v>
      </c>
      <c r="I24" s="83">
        <v>129</v>
      </c>
      <c r="J24" s="83"/>
      <c r="K24" s="83">
        <v>350</v>
      </c>
      <c r="L24" s="83">
        <v>363</v>
      </c>
      <c r="M24" s="83">
        <v>665</v>
      </c>
      <c r="N24" s="83">
        <v>490</v>
      </c>
      <c r="O24" s="83">
        <v>1304</v>
      </c>
      <c r="P24" s="83">
        <v>884</v>
      </c>
      <c r="Q24" s="83">
        <v>860</v>
      </c>
      <c r="R24" s="83">
        <v>1829</v>
      </c>
      <c r="S24" s="83">
        <v>2176</v>
      </c>
      <c r="T24" s="83">
        <v>2530</v>
      </c>
      <c r="U24" s="83">
        <v>2697</v>
      </c>
      <c r="V24" s="83">
        <v>2522</v>
      </c>
      <c r="W24" s="83">
        <v>2172</v>
      </c>
      <c r="X24" s="83">
        <v>2172</v>
      </c>
      <c r="Y24" s="83">
        <v>2172</v>
      </c>
      <c r="Z24" s="83">
        <v>1857</v>
      </c>
      <c r="AA24" s="83">
        <v>1435</v>
      </c>
      <c r="AB24" s="83">
        <v>1259</v>
      </c>
      <c r="AC24" s="83">
        <v>976</v>
      </c>
      <c r="AD24" s="83">
        <v>696</v>
      </c>
      <c r="AE24" s="83">
        <v>751</v>
      </c>
      <c r="AF24" s="83">
        <v>353</v>
      </c>
      <c r="AG24" s="83">
        <v>453</v>
      </c>
      <c r="AH24" s="83">
        <v>382</v>
      </c>
      <c r="AI24" s="83">
        <v>168</v>
      </c>
      <c r="AJ24" s="83">
        <v>910</v>
      </c>
      <c r="AK24" s="83">
        <v>630</v>
      </c>
      <c r="AL24" s="83">
        <v>1129</v>
      </c>
      <c r="AM24" s="83">
        <v>919</v>
      </c>
      <c r="AN24" s="83">
        <v>592</v>
      </c>
      <c r="AO24" s="83">
        <v>417</v>
      </c>
      <c r="AP24" s="83">
        <v>1327</v>
      </c>
      <c r="AQ24" s="83">
        <v>788</v>
      </c>
      <c r="AR24" s="83">
        <v>613</v>
      </c>
      <c r="AS24" s="83">
        <v>1318</v>
      </c>
      <c r="AT24" s="83">
        <v>933</v>
      </c>
      <c r="AU24" s="83">
        <v>583</v>
      </c>
      <c r="AV24" s="83">
        <v>903</v>
      </c>
      <c r="AW24" s="83">
        <v>587</v>
      </c>
      <c r="AX24" s="83">
        <v>167</v>
      </c>
      <c r="AY24" s="83">
        <v>73</v>
      </c>
      <c r="AZ24" s="83">
        <v>3</v>
      </c>
      <c r="BA24" s="83">
        <v>3</v>
      </c>
      <c r="BB24" s="83">
        <v>36</v>
      </c>
      <c r="BC24" s="83">
        <v>635</v>
      </c>
      <c r="BD24" s="110"/>
    </row>
    <row r="25" spans="1:56" s="96" customFormat="1" x14ac:dyDescent="0.2">
      <c r="A25" s="104" t="s">
        <v>7</v>
      </c>
      <c r="B25" s="77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110"/>
    </row>
    <row r="26" spans="1:56" s="96" customFormat="1" ht="16" thickBot="1" x14ac:dyDescent="0.25">
      <c r="A26" s="105" t="s">
        <v>16</v>
      </c>
      <c r="B26" s="84"/>
      <c r="C26" s="83">
        <v>21673</v>
      </c>
      <c r="D26" s="83">
        <v>21137</v>
      </c>
      <c r="E26" s="83">
        <v>20252</v>
      </c>
      <c r="F26" s="83">
        <v>19285</v>
      </c>
      <c r="G26" s="83">
        <v>17925</v>
      </c>
      <c r="H26" s="83">
        <v>17279</v>
      </c>
      <c r="I26" s="83">
        <v>15549</v>
      </c>
      <c r="J26" s="83">
        <v>14195</v>
      </c>
      <c r="K26" s="83">
        <v>11897</v>
      </c>
      <c r="L26" s="83">
        <v>10008</v>
      </c>
      <c r="M26" s="83">
        <v>9445</v>
      </c>
      <c r="N26" s="83">
        <v>8189</v>
      </c>
      <c r="O26" s="83">
        <v>7259</v>
      </c>
      <c r="P26" s="83">
        <v>7085</v>
      </c>
      <c r="Q26" s="83">
        <v>7164</v>
      </c>
      <c r="R26" s="83">
        <v>6704</v>
      </c>
      <c r="S26" s="83">
        <v>6208</v>
      </c>
      <c r="T26" s="83">
        <v>6593</v>
      </c>
      <c r="U26" s="83">
        <v>5240</v>
      </c>
      <c r="V26" s="83">
        <v>4974</v>
      </c>
      <c r="W26" s="83">
        <v>4704</v>
      </c>
      <c r="X26" s="83">
        <v>3715</v>
      </c>
      <c r="Y26" s="83">
        <v>3849</v>
      </c>
      <c r="Z26" s="83">
        <v>3218</v>
      </c>
      <c r="AA26" s="83">
        <v>3243</v>
      </c>
      <c r="AB26" s="83">
        <v>3083</v>
      </c>
      <c r="AC26" s="83">
        <v>3333</v>
      </c>
      <c r="AD26" s="83">
        <v>3198</v>
      </c>
      <c r="AE26" s="83">
        <v>2697</v>
      </c>
      <c r="AF26" s="83">
        <v>2343</v>
      </c>
      <c r="AG26" s="83">
        <v>2487</v>
      </c>
      <c r="AH26" s="83">
        <v>2527</v>
      </c>
      <c r="AI26" s="83">
        <v>2910</v>
      </c>
      <c r="AJ26" s="83">
        <v>2388</v>
      </c>
      <c r="AK26" s="83">
        <v>2505</v>
      </c>
      <c r="AL26" s="83">
        <v>3086</v>
      </c>
      <c r="AM26" s="83">
        <v>3878</v>
      </c>
      <c r="AN26" s="83">
        <v>3847</v>
      </c>
      <c r="AO26" s="83">
        <v>5499</v>
      </c>
      <c r="AP26" s="83">
        <v>4900</v>
      </c>
      <c r="AQ26" s="83">
        <v>5059</v>
      </c>
      <c r="AR26" s="83">
        <v>5402</v>
      </c>
      <c r="AS26" s="83">
        <v>5646</v>
      </c>
      <c r="AT26" s="83">
        <v>6270</v>
      </c>
      <c r="AU26" s="83">
        <v>6734</v>
      </c>
      <c r="AV26" s="83">
        <v>7176</v>
      </c>
      <c r="AW26" s="83">
        <v>6858</v>
      </c>
      <c r="AX26" s="83">
        <v>7103</v>
      </c>
      <c r="AY26" s="83">
        <v>7737</v>
      </c>
      <c r="AZ26" s="83">
        <v>7824</v>
      </c>
      <c r="BA26" s="83">
        <v>7188</v>
      </c>
      <c r="BB26" s="83">
        <v>8076</v>
      </c>
      <c r="BC26" s="83">
        <v>8107</v>
      </c>
      <c r="BD26" s="110"/>
    </row>
    <row r="27" spans="1:56" s="96" customFormat="1" x14ac:dyDescent="0.2">
      <c r="A27" s="100" t="s">
        <v>6</v>
      </c>
      <c r="B27" s="77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110"/>
    </row>
    <row r="28" spans="1:56" s="96" customFormat="1" x14ac:dyDescent="0.2">
      <c r="A28" s="101" t="s">
        <v>7</v>
      </c>
      <c r="B28" s="79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110"/>
    </row>
    <row r="29" spans="1:56" s="96" customFormat="1" ht="16" thickBot="1" x14ac:dyDescent="0.25">
      <c r="A29" s="105" t="s">
        <v>17</v>
      </c>
      <c r="B29" s="88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110"/>
    </row>
    <row r="30" spans="1:56" s="96" customFormat="1" x14ac:dyDescent="0.2">
      <c r="A30" s="100" t="s">
        <v>18</v>
      </c>
      <c r="B30" s="89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110"/>
    </row>
    <row r="31" spans="1:56" s="96" customFormat="1" x14ac:dyDescent="0.2">
      <c r="A31" s="72" t="s">
        <v>19</v>
      </c>
      <c r="B31" s="81"/>
      <c r="C31" s="90">
        <v>7</v>
      </c>
      <c r="D31" s="90">
        <v>22</v>
      </c>
      <c r="E31" s="90">
        <v>3</v>
      </c>
      <c r="F31" s="90">
        <v>3</v>
      </c>
      <c r="G31" s="90">
        <v>10</v>
      </c>
      <c r="H31" s="90">
        <v>4</v>
      </c>
      <c r="I31" s="90">
        <v>4</v>
      </c>
      <c r="J31" s="90">
        <v>4</v>
      </c>
      <c r="K31" s="90">
        <v>4</v>
      </c>
      <c r="L31" s="90">
        <v>4</v>
      </c>
      <c r="M31" s="90">
        <v>4</v>
      </c>
      <c r="N31" s="90">
        <v>4</v>
      </c>
      <c r="O31" s="90">
        <v>2</v>
      </c>
      <c r="P31" s="90">
        <v>2</v>
      </c>
      <c r="Q31" s="90">
        <v>0</v>
      </c>
      <c r="R31" s="90">
        <v>119</v>
      </c>
      <c r="S31" s="90">
        <v>4</v>
      </c>
      <c r="T31" s="90">
        <v>148</v>
      </c>
      <c r="U31" s="90">
        <v>68</v>
      </c>
      <c r="V31" s="90">
        <v>2</v>
      </c>
      <c r="W31" s="90">
        <v>61</v>
      </c>
      <c r="X31" s="90">
        <v>149</v>
      </c>
      <c r="Y31" s="90">
        <v>64</v>
      </c>
      <c r="Z31" s="90">
        <v>116</v>
      </c>
      <c r="AA31" s="90">
        <v>36</v>
      </c>
      <c r="AB31" s="90">
        <v>2</v>
      </c>
      <c r="AC31" s="90"/>
      <c r="AD31" s="90"/>
      <c r="AE31" s="90"/>
      <c r="AF31" s="90">
        <v>139</v>
      </c>
      <c r="AG31" s="90">
        <v>225</v>
      </c>
      <c r="AH31" s="90">
        <v>69</v>
      </c>
      <c r="AI31" s="90"/>
      <c r="AJ31" s="90"/>
      <c r="AK31" s="90"/>
      <c r="AL31" s="90"/>
      <c r="AM31" s="90">
        <v>200</v>
      </c>
      <c r="AN31" s="90">
        <v>5</v>
      </c>
      <c r="AO31" s="90">
        <v>3</v>
      </c>
      <c r="AP31" s="90">
        <v>251</v>
      </c>
      <c r="AQ31" s="90">
        <v>2</v>
      </c>
      <c r="AR31" s="90">
        <v>91</v>
      </c>
      <c r="AS31" s="90">
        <v>11</v>
      </c>
      <c r="AT31" s="90">
        <v>3</v>
      </c>
      <c r="AU31" s="90">
        <v>133</v>
      </c>
      <c r="AV31" s="90">
        <v>127</v>
      </c>
      <c r="AW31" s="90">
        <v>0</v>
      </c>
      <c r="AX31" s="90">
        <v>17</v>
      </c>
      <c r="AY31" s="90">
        <v>199</v>
      </c>
      <c r="AZ31" s="90">
        <v>0</v>
      </c>
      <c r="BA31" s="90">
        <v>0</v>
      </c>
      <c r="BB31" s="90">
        <v>1</v>
      </c>
      <c r="BC31" s="90">
        <v>0</v>
      </c>
      <c r="BD31" s="110"/>
    </row>
    <row r="32" spans="1:56" s="96" customFormat="1" x14ac:dyDescent="0.2">
      <c r="A32" s="72" t="s">
        <v>20</v>
      </c>
      <c r="B32" s="81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>
        <v>0</v>
      </c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110"/>
    </row>
    <row r="33" spans="1:56" s="96" customFormat="1" ht="16" thickBot="1" x14ac:dyDescent="0.25">
      <c r="A33" s="74" t="s">
        <v>21</v>
      </c>
      <c r="B33" s="84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>
        <v>0</v>
      </c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110"/>
    </row>
    <row r="34" spans="1:56" s="96" customFormat="1" ht="16" thickBot="1" x14ac:dyDescent="0.25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</row>
    <row r="35" spans="1:56" s="96" customFormat="1" x14ac:dyDescent="0.2">
      <c r="A35" s="68" t="s">
        <v>22</v>
      </c>
      <c r="B35" s="92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</row>
    <row r="36" spans="1:56" s="96" customFormat="1" ht="16" thickBot="1" x14ac:dyDescent="0.25">
      <c r="A36" s="73" t="s">
        <v>23</v>
      </c>
      <c r="B36" s="94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</row>
    <row r="37" spans="1:56" ht="16" thickBo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6" x14ac:dyDescent="0.2">
      <c r="A38" s="19" t="s">
        <v>24</v>
      </c>
      <c r="B38" s="9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</row>
    <row r="39" spans="1:56" x14ac:dyDescent="0.2">
      <c r="A39" s="17" t="s">
        <v>25</v>
      </c>
      <c r="B39" s="1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</row>
    <row r="40" spans="1:56" x14ac:dyDescent="0.2">
      <c r="A40" s="17" t="s">
        <v>26</v>
      </c>
      <c r="B40" s="13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</row>
    <row r="41" spans="1:56" x14ac:dyDescent="0.2">
      <c r="A41" s="17" t="s">
        <v>27</v>
      </c>
      <c r="B41" s="13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</row>
    <row r="42" spans="1:56" ht="16" thickBot="1" x14ac:dyDescent="0.25">
      <c r="A42" s="15" t="s">
        <v>28</v>
      </c>
      <c r="B42" s="10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</row>
    <row r="43" spans="1:5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9154" spans="3:55" x14ac:dyDescent="0.2">
      <c r="C49154" s="1"/>
      <c r="D49154" s="1"/>
      <c r="E49154" s="1"/>
      <c r="F49154" s="1"/>
      <c r="G49154" s="1"/>
      <c r="H49154" s="1"/>
      <c r="I49154" s="1"/>
      <c r="J49154" s="1"/>
      <c r="K49154" s="1"/>
      <c r="L49154" s="1"/>
      <c r="M49154" s="1"/>
      <c r="N49154" s="1"/>
      <c r="O49154" s="1"/>
      <c r="P49154" s="1"/>
      <c r="Q49154" s="1"/>
      <c r="R49154" s="1"/>
      <c r="S49154" s="1"/>
      <c r="T49154" s="1"/>
      <c r="U49154" s="1"/>
      <c r="V49154" s="1"/>
      <c r="W49154" s="1"/>
      <c r="X49154" s="1"/>
      <c r="Y49154" s="1"/>
      <c r="Z49154" s="1"/>
      <c r="AA49154" s="1"/>
      <c r="AB49154" s="1"/>
      <c r="AC49154" s="1"/>
      <c r="AD49154" s="1"/>
      <c r="AE49154" s="1"/>
      <c r="AF49154" s="1"/>
      <c r="AG49154" s="1"/>
      <c r="AH49154" s="1"/>
      <c r="AI49154" s="1"/>
      <c r="AJ49154" s="1"/>
      <c r="AK49154" s="1"/>
      <c r="AL49154" s="1"/>
      <c r="AM49154" s="1"/>
      <c r="AN49154" s="1"/>
      <c r="AO49154" s="1"/>
      <c r="AP49154" s="1"/>
      <c r="AQ49154" s="1"/>
      <c r="AR49154" s="1"/>
      <c r="AS49154" s="1"/>
      <c r="AT49154" s="1"/>
      <c r="AU49154" s="1"/>
      <c r="AV49154" s="1"/>
      <c r="AW49154" s="1"/>
      <c r="AX49154" s="1"/>
      <c r="AY49154" s="1"/>
      <c r="AZ49154" s="1"/>
      <c r="BA49154" s="1"/>
      <c r="BB49154" s="1"/>
      <c r="BC49154" s="1"/>
    </row>
  </sheetData>
  <sheetProtection algorithmName="SHA-512" hashValue="HA/lGQp2DkwQ3WicD+i4+HOXOzVQqI94JMIrLDyvJV6n30qfOw6mi5F7SQIXwqV7qoiWqA3sSmR1pfeJI/wNiA==" saltValue="Ns62j0+yDzy7Ajrg8iazPw==" spinCount="100000" sheet="1" objects="1" scenarios="1"/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A1AE5-73D6-47F4-A3C3-3B013CD5C8D4}">
  <dimension ref="A1:ANU49156"/>
  <sheetViews>
    <sheetView tabSelected="1" zoomScale="112" zoomScaleNormal="112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6" sqref="E16"/>
    </sheetView>
  </sheetViews>
  <sheetFormatPr baseColWidth="10" defaultRowHeight="15" x14ac:dyDescent="0.2"/>
  <cols>
    <col min="1" max="1" width="29.5" bestFit="1" customWidth="1"/>
    <col min="2" max="2" width="12" customWidth="1"/>
  </cols>
  <sheetData>
    <row r="1" spans="1:1061" ht="16" thickBot="1" x14ac:dyDescent="0.25">
      <c r="A1" s="114" t="s">
        <v>94</v>
      </c>
      <c r="B1" s="114"/>
      <c r="C1" s="200">
        <v>1</v>
      </c>
      <c r="D1" s="200">
        <v>1</v>
      </c>
      <c r="E1" s="200">
        <v>1</v>
      </c>
      <c r="F1" s="200">
        <v>1</v>
      </c>
      <c r="G1" s="200">
        <v>1</v>
      </c>
      <c r="H1" s="200">
        <v>1</v>
      </c>
      <c r="I1" s="200">
        <v>1</v>
      </c>
      <c r="J1" s="201">
        <v>2</v>
      </c>
      <c r="K1" s="201">
        <v>2</v>
      </c>
      <c r="L1" s="201">
        <v>2</v>
      </c>
      <c r="M1" s="201">
        <v>2</v>
      </c>
      <c r="N1" s="201">
        <v>2</v>
      </c>
      <c r="O1" s="201">
        <v>2</v>
      </c>
      <c r="P1" s="201">
        <v>2</v>
      </c>
      <c r="Q1" s="200">
        <v>3</v>
      </c>
      <c r="R1" s="200">
        <v>3</v>
      </c>
      <c r="S1" s="200">
        <v>3</v>
      </c>
      <c r="T1" s="200">
        <v>3</v>
      </c>
      <c r="U1" s="200">
        <v>3</v>
      </c>
      <c r="V1" s="200">
        <v>3</v>
      </c>
      <c r="W1" s="200">
        <v>3</v>
      </c>
      <c r="X1" s="201">
        <v>4</v>
      </c>
      <c r="Y1" s="201">
        <v>4</v>
      </c>
      <c r="Z1" s="201">
        <v>4</v>
      </c>
      <c r="AA1" s="201">
        <v>4</v>
      </c>
      <c r="AB1" s="201">
        <v>4</v>
      </c>
      <c r="AC1" s="201">
        <v>4</v>
      </c>
      <c r="AD1" s="201">
        <v>4</v>
      </c>
      <c r="AE1" s="200">
        <v>5</v>
      </c>
      <c r="AF1" s="200">
        <v>5</v>
      </c>
      <c r="AG1" s="200">
        <v>5</v>
      </c>
      <c r="AH1" s="200">
        <v>5</v>
      </c>
      <c r="AI1" s="200">
        <v>5</v>
      </c>
      <c r="AJ1" s="200">
        <v>5</v>
      </c>
      <c r="AK1" s="200">
        <v>5</v>
      </c>
      <c r="AL1" s="201">
        <v>6</v>
      </c>
      <c r="AM1" s="201">
        <v>6</v>
      </c>
      <c r="AN1" s="201">
        <v>6</v>
      </c>
      <c r="AO1" s="201">
        <v>6</v>
      </c>
      <c r="AP1" s="201">
        <v>6</v>
      </c>
      <c r="AQ1" s="201">
        <v>6</v>
      </c>
      <c r="AR1" s="201">
        <v>6</v>
      </c>
      <c r="AS1" s="200">
        <v>7</v>
      </c>
      <c r="AT1" s="200">
        <v>7</v>
      </c>
      <c r="AU1" s="200">
        <v>7</v>
      </c>
      <c r="AV1" s="200">
        <v>7</v>
      </c>
      <c r="AW1" s="200">
        <v>7</v>
      </c>
      <c r="AX1" s="200">
        <v>7</v>
      </c>
      <c r="AY1" s="200">
        <v>7</v>
      </c>
      <c r="AZ1" s="201">
        <v>8</v>
      </c>
      <c r="BA1" s="201">
        <v>8</v>
      </c>
      <c r="BB1" s="201">
        <v>8</v>
      </c>
      <c r="BC1" s="201">
        <v>8</v>
      </c>
      <c r="BD1" s="201">
        <v>8</v>
      </c>
      <c r="BE1" s="201">
        <v>8</v>
      </c>
      <c r="BF1" s="201">
        <v>8</v>
      </c>
      <c r="BG1" s="200">
        <v>9</v>
      </c>
      <c r="BH1" s="200">
        <v>9</v>
      </c>
      <c r="BI1" s="200">
        <v>9</v>
      </c>
      <c r="BJ1" s="200">
        <v>9</v>
      </c>
      <c r="BK1" s="200">
        <v>9</v>
      </c>
      <c r="BL1" s="200">
        <v>9</v>
      </c>
      <c r="BM1" s="200">
        <v>9</v>
      </c>
      <c r="BN1" s="201">
        <v>10</v>
      </c>
      <c r="BO1" s="201">
        <v>10</v>
      </c>
      <c r="BP1" s="201">
        <v>10</v>
      </c>
      <c r="BQ1" s="201">
        <v>10</v>
      </c>
      <c r="BR1" s="201">
        <v>10</v>
      </c>
      <c r="BS1" s="201">
        <v>10</v>
      </c>
      <c r="BT1" s="201">
        <v>10</v>
      </c>
      <c r="BU1" s="236">
        <v>11</v>
      </c>
      <c r="BV1" s="200">
        <v>11</v>
      </c>
      <c r="BW1" s="200">
        <v>11</v>
      </c>
      <c r="BX1" s="200">
        <v>11</v>
      </c>
      <c r="BY1" s="200">
        <v>11</v>
      </c>
      <c r="BZ1" s="200">
        <v>11</v>
      </c>
      <c r="CA1" s="200">
        <v>11</v>
      </c>
      <c r="CB1" s="201">
        <v>12</v>
      </c>
      <c r="CC1" s="201">
        <v>12</v>
      </c>
      <c r="CD1" s="201">
        <v>12</v>
      </c>
      <c r="CE1" s="201">
        <v>12</v>
      </c>
      <c r="CF1" s="201">
        <v>12</v>
      </c>
      <c r="CG1" s="201">
        <v>12</v>
      </c>
      <c r="CH1" s="201">
        <v>12</v>
      </c>
      <c r="CI1" s="200">
        <v>13</v>
      </c>
      <c r="CJ1" s="200">
        <v>13</v>
      </c>
      <c r="CK1" s="200">
        <v>13</v>
      </c>
      <c r="CL1" s="200">
        <v>13</v>
      </c>
      <c r="CM1" s="200">
        <v>13</v>
      </c>
      <c r="CN1" s="200">
        <v>13</v>
      </c>
      <c r="CO1" s="200">
        <v>13</v>
      </c>
      <c r="CP1" s="201">
        <v>14</v>
      </c>
      <c r="CQ1" s="201">
        <v>14</v>
      </c>
      <c r="CR1" s="201">
        <v>14</v>
      </c>
      <c r="CS1" s="201">
        <v>14</v>
      </c>
      <c r="CT1" s="201">
        <v>14</v>
      </c>
      <c r="CU1" s="201">
        <v>14</v>
      </c>
      <c r="CV1" s="201">
        <v>14</v>
      </c>
      <c r="CW1" s="200">
        <v>15</v>
      </c>
      <c r="CX1" s="200">
        <v>15</v>
      </c>
      <c r="CY1" s="200">
        <v>15</v>
      </c>
      <c r="CZ1" s="200">
        <v>15</v>
      </c>
      <c r="DA1" s="200">
        <v>15</v>
      </c>
      <c r="DB1" s="200">
        <v>15</v>
      </c>
      <c r="DC1" s="200">
        <v>15</v>
      </c>
      <c r="DD1" s="201">
        <v>16</v>
      </c>
      <c r="DE1" s="201">
        <v>16</v>
      </c>
      <c r="DF1" s="201">
        <v>16</v>
      </c>
      <c r="DG1" s="201">
        <v>16</v>
      </c>
      <c r="DH1" s="201">
        <v>16</v>
      </c>
      <c r="DI1" s="201">
        <v>16</v>
      </c>
      <c r="DJ1" s="201">
        <v>16</v>
      </c>
      <c r="DK1" s="200">
        <v>17</v>
      </c>
      <c r="DL1" s="200">
        <v>17</v>
      </c>
      <c r="DM1" s="200">
        <v>17</v>
      </c>
      <c r="DN1" s="200">
        <v>17</v>
      </c>
      <c r="DO1" s="200">
        <v>17</v>
      </c>
      <c r="DP1" s="200">
        <v>17</v>
      </c>
      <c r="DQ1" s="200">
        <v>17</v>
      </c>
      <c r="DR1" s="201">
        <v>18</v>
      </c>
      <c r="DS1" s="201">
        <v>18</v>
      </c>
      <c r="DT1" s="201">
        <v>18</v>
      </c>
      <c r="DU1" s="201">
        <v>18</v>
      </c>
      <c r="DV1" s="201">
        <v>18</v>
      </c>
      <c r="DW1" s="201">
        <v>18</v>
      </c>
      <c r="DX1" s="201">
        <v>18</v>
      </c>
      <c r="DY1" s="200">
        <v>19</v>
      </c>
      <c r="DZ1" s="200">
        <v>19</v>
      </c>
      <c r="EA1" s="200">
        <v>19</v>
      </c>
      <c r="EB1" s="200">
        <v>19</v>
      </c>
      <c r="EC1" s="200">
        <v>19</v>
      </c>
      <c r="ED1" s="200">
        <v>19</v>
      </c>
      <c r="EE1" s="200">
        <v>19</v>
      </c>
      <c r="EF1" s="201">
        <v>20</v>
      </c>
      <c r="EG1" s="201">
        <v>20</v>
      </c>
      <c r="EH1" s="201">
        <v>20</v>
      </c>
      <c r="EI1" s="201">
        <v>20</v>
      </c>
      <c r="EJ1" s="201">
        <v>20</v>
      </c>
      <c r="EK1" s="201">
        <v>20</v>
      </c>
      <c r="EL1" s="201">
        <v>20</v>
      </c>
      <c r="EM1" s="200">
        <v>21</v>
      </c>
      <c r="EN1" s="200">
        <v>21</v>
      </c>
      <c r="EO1" s="200">
        <v>21</v>
      </c>
      <c r="EP1" s="200">
        <v>21</v>
      </c>
      <c r="EQ1" s="200">
        <v>21</v>
      </c>
      <c r="ER1" s="200">
        <v>21</v>
      </c>
      <c r="ES1" s="200">
        <v>21</v>
      </c>
      <c r="ET1" s="201">
        <v>22</v>
      </c>
      <c r="EU1" s="201">
        <v>22</v>
      </c>
      <c r="EV1" s="201">
        <v>22</v>
      </c>
      <c r="EW1" s="201">
        <v>22</v>
      </c>
      <c r="EX1" s="201">
        <v>22</v>
      </c>
      <c r="EY1" s="201">
        <v>22</v>
      </c>
      <c r="EZ1" s="201">
        <v>22</v>
      </c>
      <c r="FA1" s="200">
        <v>23</v>
      </c>
      <c r="FB1" s="200">
        <v>23</v>
      </c>
      <c r="FC1" s="200">
        <v>23</v>
      </c>
      <c r="FD1" s="200">
        <v>23</v>
      </c>
      <c r="FE1" s="200">
        <v>23</v>
      </c>
      <c r="FF1" s="200">
        <v>23</v>
      </c>
      <c r="FG1" s="200">
        <v>23</v>
      </c>
      <c r="FH1" s="201">
        <v>24</v>
      </c>
      <c r="FI1" s="201">
        <v>24</v>
      </c>
      <c r="FJ1" s="201">
        <v>24</v>
      </c>
      <c r="FK1" s="201">
        <v>24</v>
      </c>
      <c r="FL1" s="201">
        <v>24</v>
      </c>
      <c r="FM1" s="201">
        <v>24</v>
      </c>
      <c r="FN1" s="201">
        <v>24</v>
      </c>
      <c r="FO1" s="200">
        <v>25</v>
      </c>
      <c r="FP1" s="200">
        <v>25</v>
      </c>
      <c r="FQ1" s="200">
        <v>25</v>
      </c>
      <c r="FR1" s="200">
        <v>25</v>
      </c>
      <c r="FS1" s="200">
        <v>25</v>
      </c>
      <c r="FT1" s="200">
        <v>25</v>
      </c>
      <c r="FU1" s="200">
        <v>25</v>
      </c>
      <c r="FV1" s="201">
        <v>26</v>
      </c>
      <c r="FW1" s="201">
        <v>26</v>
      </c>
      <c r="FX1" s="201">
        <v>26</v>
      </c>
      <c r="FY1" s="201">
        <v>26</v>
      </c>
      <c r="FZ1" s="201">
        <v>26</v>
      </c>
      <c r="GA1" s="201">
        <v>26</v>
      </c>
      <c r="GB1" s="201">
        <v>26</v>
      </c>
      <c r="GC1" s="200">
        <v>27</v>
      </c>
      <c r="GD1" s="200">
        <v>27</v>
      </c>
      <c r="GE1" s="200">
        <v>27</v>
      </c>
      <c r="GF1" s="200">
        <v>27</v>
      </c>
      <c r="GG1" s="200">
        <v>27</v>
      </c>
      <c r="GH1" s="200">
        <v>27</v>
      </c>
      <c r="GI1" s="200">
        <v>27</v>
      </c>
      <c r="GJ1" s="201">
        <v>28</v>
      </c>
      <c r="GK1" s="201">
        <v>28</v>
      </c>
      <c r="GL1" s="201">
        <v>28</v>
      </c>
      <c r="GM1" s="201">
        <v>28</v>
      </c>
      <c r="GN1" s="201">
        <v>28</v>
      </c>
      <c r="GO1" s="201">
        <v>28</v>
      </c>
      <c r="GP1" s="201">
        <v>28</v>
      </c>
      <c r="GQ1" s="200">
        <v>29</v>
      </c>
      <c r="GR1" s="200">
        <v>29</v>
      </c>
      <c r="GS1" s="200">
        <v>29</v>
      </c>
      <c r="GT1" s="200">
        <v>29</v>
      </c>
      <c r="GU1" s="200">
        <v>29</v>
      </c>
      <c r="GV1" s="200">
        <v>29</v>
      </c>
      <c r="GW1" s="200">
        <v>29</v>
      </c>
      <c r="GX1" s="201">
        <v>30</v>
      </c>
      <c r="GY1" s="201">
        <v>30</v>
      </c>
      <c r="GZ1" s="201">
        <v>30</v>
      </c>
      <c r="HA1" s="201">
        <v>30</v>
      </c>
      <c r="HB1" s="201">
        <v>30</v>
      </c>
      <c r="HC1" s="201">
        <v>30</v>
      </c>
      <c r="HD1" s="201">
        <v>30</v>
      </c>
      <c r="HE1" s="200">
        <v>31</v>
      </c>
      <c r="HF1" s="200">
        <v>31</v>
      </c>
      <c r="HG1" s="200">
        <v>31</v>
      </c>
      <c r="HH1" s="200">
        <v>31</v>
      </c>
      <c r="HI1" s="200">
        <v>31</v>
      </c>
      <c r="HJ1" s="200">
        <v>31</v>
      </c>
      <c r="HK1" s="200">
        <v>31</v>
      </c>
      <c r="HL1" s="201">
        <v>32</v>
      </c>
      <c r="HM1" s="201">
        <v>32</v>
      </c>
      <c r="HN1" s="201">
        <v>32</v>
      </c>
      <c r="HO1" s="201">
        <v>32</v>
      </c>
      <c r="HP1" s="201">
        <v>32</v>
      </c>
      <c r="HQ1" s="201">
        <v>32</v>
      </c>
      <c r="HR1" s="201">
        <v>32</v>
      </c>
      <c r="HS1" s="200">
        <v>33</v>
      </c>
      <c r="HT1" s="200">
        <v>33</v>
      </c>
      <c r="HU1" s="200">
        <v>33</v>
      </c>
      <c r="HV1" s="200">
        <v>33</v>
      </c>
      <c r="HW1" s="200">
        <v>33</v>
      </c>
      <c r="HX1" s="200">
        <v>33</v>
      </c>
      <c r="HY1" s="200">
        <v>33</v>
      </c>
      <c r="HZ1" s="201">
        <v>34</v>
      </c>
      <c r="IA1" s="201">
        <v>34</v>
      </c>
      <c r="IB1" s="201">
        <v>34</v>
      </c>
      <c r="IC1" s="201">
        <v>34</v>
      </c>
      <c r="ID1" s="201">
        <v>34</v>
      </c>
      <c r="IE1" s="201">
        <v>34</v>
      </c>
      <c r="IF1" s="201">
        <v>34</v>
      </c>
      <c r="IG1" s="200">
        <v>35</v>
      </c>
      <c r="IH1" s="200">
        <v>35</v>
      </c>
      <c r="II1" s="200">
        <v>35</v>
      </c>
      <c r="IJ1" s="200">
        <v>35</v>
      </c>
      <c r="IK1" s="200">
        <v>35</v>
      </c>
      <c r="IL1" s="200">
        <v>35</v>
      </c>
      <c r="IM1" s="200">
        <v>35</v>
      </c>
      <c r="IN1" s="201">
        <v>36</v>
      </c>
      <c r="IO1" s="201">
        <v>36</v>
      </c>
      <c r="IP1" s="201">
        <v>36</v>
      </c>
      <c r="IQ1" s="201">
        <v>36</v>
      </c>
      <c r="IR1" s="201">
        <v>36</v>
      </c>
      <c r="IS1" s="201">
        <v>36</v>
      </c>
      <c r="IT1" s="201">
        <v>36</v>
      </c>
      <c r="IU1" s="200">
        <v>37</v>
      </c>
      <c r="IV1" s="200">
        <v>37</v>
      </c>
      <c r="IW1" s="200">
        <v>37</v>
      </c>
      <c r="IX1" s="200">
        <v>37</v>
      </c>
      <c r="IY1" s="200">
        <v>37</v>
      </c>
      <c r="IZ1" s="200">
        <v>37</v>
      </c>
      <c r="JA1" s="200">
        <v>37</v>
      </c>
      <c r="JB1" s="201">
        <v>38</v>
      </c>
      <c r="JC1" s="201">
        <v>38</v>
      </c>
      <c r="JD1" s="201">
        <v>38</v>
      </c>
      <c r="JE1" s="201">
        <v>38</v>
      </c>
      <c r="JF1" s="201">
        <v>38</v>
      </c>
      <c r="JG1" s="201">
        <v>38</v>
      </c>
      <c r="JH1" s="201">
        <v>38</v>
      </c>
      <c r="JI1" s="200">
        <v>39</v>
      </c>
      <c r="JJ1" s="200">
        <v>39</v>
      </c>
      <c r="JK1" s="200">
        <v>39</v>
      </c>
      <c r="JL1" s="200">
        <v>39</v>
      </c>
      <c r="JM1" s="200">
        <v>39</v>
      </c>
      <c r="JN1" s="200">
        <v>39</v>
      </c>
      <c r="JO1" s="200">
        <v>39</v>
      </c>
      <c r="JP1" s="201">
        <v>40</v>
      </c>
      <c r="JQ1" s="201">
        <v>40</v>
      </c>
      <c r="JR1" s="201">
        <v>40</v>
      </c>
      <c r="JS1" s="201">
        <v>40</v>
      </c>
      <c r="JT1" s="201">
        <v>40</v>
      </c>
      <c r="JU1" s="201">
        <v>40</v>
      </c>
      <c r="JV1" s="201">
        <v>40</v>
      </c>
      <c r="JW1" s="200">
        <v>41</v>
      </c>
      <c r="JX1" s="200">
        <v>41</v>
      </c>
      <c r="JY1" s="200">
        <v>41</v>
      </c>
      <c r="JZ1" s="200">
        <v>41</v>
      </c>
      <c r="KA1" s="200">
        <v>41</v>
      </c>
      <c r="KB1" s="200">
        <v>41</v>
      </c>
      <c r="KC1" s="200">
        <v>41</v>
      </c>
      <c r="KD1" s="201">
        <v>42</v>
      </c>
      <c r="KE1" s="201">
        <v>42</v>
      </c>
      <c r="KF1" s="201">
        <v>42</v>
      </c>
      <c r="KG1" s="201">
        <v>42</v>
      </c>
      <c r="KH1" s="201">
        <v>42</v>
      </c>
      <c r="KI1" s="201">
        <v>42</v>
      </c>
      <c r="KJ1" s="201">
        <v>42</v>
      </c>
      <c r="KK1" s="200">
        <v>43</v>
      </c>
      <c r="KL1" s="200">
        <v>43</v>
      </c>
      <c r="KM1" s="200">
        <v>43</v>
      </c>
      <c r="KN1" s="200">
        <v>43</v>
      </c>
      <c r="KO1" s="200">
        <v>43</v>
      </c>
      <c r="KP1" s="200">
        <v>43</v>
      </c>
      <c r="KQ1" s="200">
        <v>43</v>
      </c>
      <c r="KR1" s="201">
        <v>44</v>
      </c>
      <c r="KS1" s="201">
        <v>44</v>
      </c>
      <c r="KT1" s="201">
        <v>44</v>
      </c>
      <c r="KU1" s="201">
        <v>44</v>
      </c>
      <c r="KV1" s="201">
        <v>44</v>
      </c>
      <c r="KW1" s="201">
        <v>44</v>
      </c>
      <c r="KX1" s="201">
        <v>44</v>
      </c>
      <c r="KY1" s="200">
        <v>45</v>
      </c>
      <c r="KZ1" s="200">
        <v>45</v>
      </c>
      <c r="LA1" s="200">
        <v>45</v>
      </c>
      <c r="LB1" s="200">
        <v>45</v>
      </c>
      <c r="LC1" s="200">
        <v>45</v>
      </c>
      <c r="LD1" s="200">
        <v>45</v>
      </c>
      <c r="LE1" s="200">
        <v>45</v>
      </c>
      <c r="LF1" s="201">
        <v>46</v>
      </c>
      <c r="LG1" s="201">
        <v>46</v>
      </c>
      <c r="LH1" s="201">
        <v>46</v>
      </c>
      <c r="LI1" s="201">
        <v>46</v>
      </c>
      <c r="LJ1" s="201">
        <v>46</v>
      </c>
      <c r="LK1" s="201">
        <v>46</v>
      </c>
      <c r="LL1" s="201">
        <v>46</v>
      </c>
      <c r="LM1" s="200">
        <v>47</v>
      </c>
      <c r="LN1" s="200">
        <v>47</v>
      </c>
      <c r="LO1" s="200">
        <v>47</v>
      </c>
      <c r="LP1" s="200">
        <v>47</v>
      </c>
      <c r="LQ1" s="200">
        <v>47</v>
      </c>
      <c r="LR1" s="200">
        <v>47</v>
      </c>
      <c r="LS1" s="200">
        <v>47</v>
      </c>
      <c r="LT1" s="201">
        <v>48</v>
      </c>
      <c r="LU1" s="201">
        <v>48</v>
      </c>
      <c r="LV1" s="201">
        <v>48</v>
      </c>
      <c r="LW1" s="201">
        <v>48</v>
      </c>
      <c r="LX1" s="201">
        <v>48</v>
      </c>
      <c r="LY1" s="201">
        <v>48</v>
      </c>
      <c r="LZ1" s="201">
        <v>48</v>
      </c>
      <c r="MA1" s="200">
        <v>49</v>
      </c>
      <c r="MB1" s="200">
        <v>49</v>
      </c>
      <c r="MC1" s="200">
        <v>49</v>
      </c>
      <c r="MD1" s="200">
        <v>49</v>
      </c>
      <c r="ME1" s="200">
        <v>49</v>
      </c>
      <c r="MF1" s="200">
        <v>49</v>
      </c>
      <c r="MG1" s="200">
        <v>49</v>
      </c>
      <c r="MH1" s="201">
        <v>50</v>
      </c>
      <c r="MI1" s="201">
        <v>50</v>
      </c>
      <c r="MJ1" s="201">
        <v>50</v>
      </c>
      <c r="MK1" s="201">
        <v>50</v>
      </c>
      <c r="ML1" s="201">
        <v>50</v>
      </c>
      <c r="MM1" s="201">
        <v>50</v>
      </c>
      <c r="MN1" s="201">
        <v>50</v>
      </c>
      <c r="MO1" s="200">
        <v>51</v>
      </c>
      <c r="MP1" s="200">
        <v>51</v>
      </c>
      <c r="MQ1" s="200">
        <v>51</v>
      </c>
      <c r="MR1" s="200">
        <v>51</v>
      </c>
      <c r="MS1" s="200">
        <v>51</v>
      </c>
      <c r="MT1" s="200">
        <v>51</v>
      </c>
      <c r="MU1" s="200">
        <v>51</v>
      </c>
      <c r="MV1" s="201">
        <v>52</v>
      </c>
      <c r="MW1" s="201">
        <v>52</v>
      </c>
      <c r="MX1" s="201">
        <v>52</v>
      </c>
      <c r="MY1" s="201">
        <v>52</v>
      </c>
      <c r="MZ1" s="201">
        <v>52</v>
      </c>
      <c r="NA1" s="201">
        <v>52</v>
      </c>
      <c r="NB1" s="201">
        <v>52</v>
      </c>
      <c r="NC1" s="200">
        <v>1</v>
      </c>
      <c r="ND1" s="200">
        <v>1</v>
      </c>
      <c r="NE1" s="200">
        <v>1</v>
      </c>
    </row>
    <row r="2" spans="1:1061" ht="16" thickBot="1" x14ac:dyDescent="0.25">
      <c r="A2" s="115" t="s">
        <v>0</v>
      </c>
      <c r="B2" s="115" t="s">
        <v>162</v>
      </c>
      <c r="C2" s="190">
        <v>46020</v>
      </c>
      <c r="D2" s="190">
        <v>46021</v>
      </c>
      <c r="E2" s="190">
        <v>46022</v>
      </c>
      <c r="F2" s="190">
        <v>46023</v>
      </c>
      <c r="G2" s="190">
        <v>46024</v>
      </c>
      <c r="H2" s="190">
        <v>46025</v>
      </c>
      <c r="I2" s="190">
        <v>46026</v>
      </c>
      <c r="J2" s="190">
        <v>46027</v>
      </c>
      <c r="K2" s="190">
        <v>46028</v>
      </c>
      <c r="L2" s="190">
        <v>46029</v>
      </c>
      <c r="M2" s="190">
        <v>46030</v>
      </c>
      <c r="N2" s="190">
        <v>46031</v>
      </c>
      <c r="O2" s="190">
        <v>46032</v>
      </c>
      <c r="P2" s="190">
        <v>46033</v>
      </c>
      <c r="Q2" s="190">
        <v>46034</v>
      </c>
      <c r="R2" s="190">
        <v>46035</v>
      </c>
      <c r="S2" s="190">
        <v>46036</v>
      </c>
      <c r="T2" s="190">
        <v>46037</v>
      </c>
      <c r="U2" s="190">
        <v>46038</v>
      </c>
      <c r="V2" s="190">
        <v>46039</v>
      </c>
      <c r="W2" s="190">
        <v>46040</v>
      </c>
      <c r="X2" s="190">
        <v>46041</v>
      </c>
      <c r="Y2" s="190">
        <v>46042</v>
      </c>
      <c r="Z2" s="190">
        <v>46043</v>
      </c>
      <c r="AA2" s="190">
        <v>46044</v>
      </c>
      <c r="AB2" s="190">
        <v>46045</v>
      </c>
      <c r="AC2" s="190">
        <v>46046</v>
      </c>
      <c r="AD2" s="190">
        <v>46047</v>
      </c>
      <c r="AE2" s="190">
        <v>46048</v>
      </c>
      <c r="AF2" s="190">
        <v>46049</v>
      </c>
      <c r="AG2" s="190">
        <v>46050</v>
      </c>
      <c r="AH2" s="190">
        <v>46051</v>
      </c>
      <c r="AI2" s="190">
        <v>46052</v>
      </c>
      <c r="AJ2" s="190">
        <v>46053</v>
      </c>
      <c r="AK2" s="190">
        <v>46054</v>
      </c>
      <c r="AL2" s="190">
        <v>46055</v>
      </c>
      <c r="AM2" s="190">
        <v>46056</v>
      </c>
      <c r="AN2" s="190">
        <v>46057</v>
      </c>
      <c r="AO2" s="190">
        <v>46058</v>
      </c>
      <c r="AP2" s="190">
        <v>46059</v>
      </c>
      <c r="AQ2" s="190">
        <v>46060</v>
      </c>
      <c r="AR2" s="190">
        <v>46061</v>
      </c>
      <c r="AS2" s="190">
        <v>46062</v>
      </c>
      <c r="AT2" s="190">
        <v>46063</v>
      </c>
      <c r="AU2" s="190">
        <v>46064</v>
      </c>
      <c r="AV2" s="190">
        <v>46065</v>
      </c>
      <c r="AW2" s="190">
        <v>46066</v>
      </c>
      <c r="AX2" s="190">
        <v>46067</v>
      </c>
      <c r="AY2" s="190">
        <v>46068</v>
      </c>
      <c r="AZ2" s="190">
        <v>46069</v>
      </c>
      <c r="BA2" s="190">
        <v>46070</v>
      </c>
      <c r="BB2" s="190">
        <v>46071</v>
      </c>
      <c r="BC2" s="190">
        <v>46072</v>
      </c>
      <c r="BD2" s="190">
        <v>46073</v>
      </c>
      <c r="BE2" s="190">
        <v>46074</v>
      </c>
      <c r="BF2" s="190">
        <v>46075</v>
      </c>
      <c r="BG2" s="190">
        <v>46076</v>
      </c>
      <c r="BH2" s="190">
        <v>46077</v>
      </c>
      <c r="BI2" s="190">
        <v>46078</v>
      </c>
      <c r="BJ2" s="190">
        <v>46079</v>
      </c>
      <c r="BK2" s="190">
        <v>46080</v>
      </c>
      <c r="BL2" s="190">
        <v>46081</v>
      </c>
      <c r="BM2" s="190">
        <v>46082</v>
      </c>
      <c r="BN2" s="190">
        <v>46083</v>
      </c>
      <c r="BO2" s="190">
        <v>46084</v>
      </c>
      <c r="BP2" s="190">
        <v>46085</v>
      </c>
      <c r="BQ2" s="190">
        <v>46086</v>
      </c>
      <c r="BR2" s="190">
        <v>46087</v>
      </c>
      <c r="BS2" s="190">
        <v>46088</v>
      </c>
      <c r="BT2" s="190">
        <v>46089</v>
      </c>
      <c r="BU2" s="190">
        <v>46090</v>
      </c>
      <c r="BV2" s="190">
        <v>46091</v>
      </c>
      <c r="BW2" s="190">
        <v>46092</v>
      </c>
      <c r="BX2" s="190">
        <v>46093</v>
      </c>
      <c r="BY2" s="190">
        <v>46094</v>
      </c>
      <c r="BZ2" s="190">
        <v>46095</v>
      </c>
      <c r="CA2" s="190">
        <v>46096</v>
      </c>
      <c r="CB2" s="190">
        <v>46097</v>
      </c>
      <c r="CC2" s="190">
        <v>46098</v>
      </c>
      <c r="CD2" s="190">
        <v>46099</v>
      </c>
      <c r="CE2" s="190">
        <v>46100</v>
      </c>
      <c r="CF2" s="190">
        <v>46101</v>
      </c>
      <c r="CG2" s="190">
        <v>46102</v>
      </c>
      <c r="CH2" s="190">
        <v>46103</v>
      </c>
      <c r="CI2" s="190">
        <v>46104</v>
      </c>
      <c r="CJ2" s="190">
        <v>46105</v>
      </c>
      <c r="CK2" s="190">
        <v>46106</v>
      </c>
      <c r="CL2" s="190">
        <v>46107</v>
      </c>
      <c r="CM2" s="190">
        <v>46108</v>
      </c>
      <c r="CN2" s="190">
        <v>46109</v>
      </c>
      <c r="CO2" s="190">
        <v>46110</v>
      </c>
      <c r="CP2" s="190">
        <v>46111</v>
      </c>
      <c r="CQ2" s="190">
        <v>46112</v>
      </c>
      <c r="CR2" s="190">
        <v>46113</v>
      </c>
      <c r="CS2" s="190">
        <v>46114</v>
      </c>
      <c r="CT2" s="190">
        <v>46115</v>
      </c>
      <c r="CU2" s="190">
        <v>46116</v>
      </c>
      <c r="CV2" s="190">
        <v>46117</v>
      </c>
      <c r="CW2" s="190">
        <v>46118</v>
      </c>
      <c r="CX2" s="190">
        <v>46119</v>
      </c>
      <c r="CY2" s="190">
        <v>46120</v>
      </c>
      <c r="CZ2" s="190">
        <v>46121</v>
      </c>
      <c r="DA2" s="190">
        <v>46122</v>
      </c>
      <c r="DB2" s="190">
        <v>46123</v>
      </c>
      <c r="DC2" s="190">
        <v>46124</v>
      </c>
      <c r="DD2" s="190">
        <v>46125</v>
      </c>
      <c r="DE2" s="190">
        <v>46126</v>
      </c>
      <c r="DF2" s="190">
        <v>46127</v>
      </c>
      <c r="DG2" s="190">
        <v>46128</v>
      </c>
      <c r="DH2" s="190">
        <v>46129</v>
      </c>
      <c r="DI2" s="190">
        <v>46130</v>
      </c>
      <c r="DJ2" s="190">
        <v>46131</v>
      </c>
      <c r="DK2" s="190">
        <v>46132</v>
      </c>
      <c r="DL2" s="190">
        <v>46133</v>
      </c>
      <c r="DM2" s="190">
        <v>46134</v>
      </c>
      <c r="DN2" s="190">
        <v>46135</v>
      </c>
      <c r="DO2" s="190">
        <v>46136</v>
      </c>
      <c r="DP2" s="190">
        <v>46137</v>
      </c>
      <c r="DQ2" s="190">
        <v>46138</v>
      </c>
      <c r="DR2" s="190">
        <v>46139</v>
      </c>
      <c r="DS2" s="190">
        <v>46140</v>
      </c>
      <c r="DT2" s="190">
        <v>46141</v>
      </c>
      <c r="DU2" s="190">
        <v>46142</v>
      </c>
      <c r="DV2" s="190">
        <v>46143</v>
      </c>
      <c r="DW2" s="190">
        <v>46144</v>
      </c>
      <c r="DX2" s="190">
        <v>46145</v>
      </c>
      <c r="DY2" s="190">
        <v>46146</v>
      </c>
      <c r="DZ2" s="190">
        <v>46147</v>
      </c>
      <c r="EA2" s="190">
        <v>46148</v>
      </c>
      <c r="EB2" s="190">
        <v>46149</v>
      </c>
      <c r="EC2" s="190">
        <v>46150</v>
      </c>
      <c r="ED2" s="190">
        <v>46151</v>
      </c>
      <c r="EE2" s="190">
        <v>46152</v>
      </c>
      <c r="EF2" s="190">
        <v>46153</v>
      </c>
      <c r="EG2" s="190">
        <v>46154</v>
      </c>
      <c r="EH2" s="190">
        <v>46155</v>
      </c>
      <c r="EI2" s="190">
        <v>46156</v>
      </c>
      <c r="EJ2" s="190">
        <v>46157</v>
      </c>
      <c r="EK2" s="190">
        <v>46158</v>
      </c>
      <c r="EL2" s="190">
        <v>46159</v>
      </c>
      <c r="EM2" s="190">
        <v>46160</v>
      </c>
      <c r="EN2" s="190">
        <v>46161</v>
      </c>
      <c r="EO2" s="190">
        <v>46162</v>
      </c>
      <c r="EP2" s="190">
        <v>46163</v>
      </c>
      <c r="EQ2" s="190">
        <v>46164</v>
      </c>
      <c r="ER2" s="190">
        <v>46165</v>
      </c>
      <c r="ES2" s="190">
        <v>46166</v>
      </c>
      <c r="ET2" s="190">
        <v>46167</v>
      </c>
      <c r="EU2" s="190">
        <v>46168</v>
      </c>
      <c r="EV2" s="190">
        <v>46169</v>
      </c>
      <c r="EW2" s="190">
        <v>46170</v>
      </c>
      <c r="EX2" s="190">
        <v>46171</v>
      </c>
      <c r="EY2" s="190">
        <v>46172</v>
      </c>
      <c r="EZ2" s="190">
        <v>46173</v>
      </c>
      <c r="FA2" s="190">
        <v>46174</v>
      </c>
      <c r="FB2" s="190">
        <v>46175</v>
      </c>
      <c r="FC2" s="190">
        <v>46176</v>
      </c>
      <c r="FD2" s="190">
        <v>46177</v>
      </c>
      <c r="FE2" s="190">
        <v>46178</v>
      </c>
      <c r="FF2" s="190">
        <v>46179</v>
      </c>
      <c r="FG2" s="190">
        <v>46180</v>
      </c>
      <c r="FH2" s="190">
        <v>46181</v>
      </c>
      <c r="FI2" s="190">
        <v>46182</v>
      </c>
      <c r="FJ2" s="190">
        <v>46183</v>
      </c>
      <c r="FK2" s="190">
        <v>46184</v>
      </c>
      <c r="FL2" s="190">
        <v>46185</v>
      </c>
      <c r="FM2" s="190">
        <v>46186</v>
      </c>
      <c r="FN2" s="190">
        <v>46187</v>
      </c>
      <c r="FO2" s="190">
        <v>46188</v>
      </c>
      <c r="FP2" s="190">
        <v>46189</v>
      </c>
      <c r="FQ2" s="190">
        <v>46190</v>
      </c>
      <c r="FR2" s="190">
        <v>46191</v>
      </c>
      <c r="FS2" s="190">
        <v>46192</v>
      </c>
      <c r="FT2" s="190">
        <v>46193</v>
      </c>
      <c r="FU2" s="190">
        <v>46194</v>
      </c>
      <c r="FV2" s="190">
        <v>46195</v>
      </c>
      <c r="FW2" s="190">
        <v>46196</v>
      </c>
      <c r="FX2" s="190">
        <v>46197</v>
      </c>
      <c r="FY2" s="190">
        <v>46198</v>
      </c>
      <c r="FZ2" s="190">
        <v>46199</v>
      </c>
      <c r="GA2" s="190">
        <v>46200</v>
      </c>
      <c r="GB2" s="190">
        <v>46201</v>
      </c>
      <c r="GC2" s="190">
        <v>46202</v>
      </c>
      <c r="GD2" s="190">
        <v>46203</v>
      </c>
      <c r="GE2" s="190">
        <v>46204</v>
      </c>
      <c r="GF2" s="190">
        <v>46205</v>
      </c>
      <c r="GG2" s="190">
        <v>46206</v>
      </c>
      <c r="GH2" s="190">
        <v>46207</v>
      </c>
      <c r="GI2" s="190">
        <v>46208</v>
      </c>
      <c r="GJ2" s="190">
        <v>46209</v>
      </c>
      <c r="GK2" s="190">
        <v>46210</v>
      </c>
      <c r="GL2" s="190">
        <v>46211</v>
      </c>
      <c r="GM2" s="190">
        <v>46212</v>
      </c>
      <c r="GN2" s="190">
        <v>46213</v>
      </c>
      <c r="GO2" s="190">
        <v>46214</v>
      </c>
      <c r="GP2" s="190">
        <v>46215</v>
      </c>
      <c r="GQ2" s="190">
        <v>46216</v>
      </c>
      <c r="GR2" s="190">
        <v>46217</v>
      </c>
      <c r="GS2" s="190">
        <v>46218</v>
      </c>
      <c r="GT2" s="190">
        <v>46219</v>
      </c>
      <c r="GU2" s="190">
        <v>46220</v>
      </c>
      <c r="GV2" s="190">
        <v>46221</v>
      </c>
      <c r="GW2" s="190">
        <v>46222</v>
      </c>
      <c r="GX2" s="190">
        <v>46223</v>
      </c>
      <c r="GY2" s="190">
        <v>46224</v>
      </c>
      <c r="GZ2" s="190">
        <v>46225</v>
      </c>
      <c r="HA2" s="190">
        <v>46226</v>
      </c>
      <c r="HB2" s="190">
        <v>46227</v>
      </c>
      <c r="HC2" s="190">
        <v>46228</v>
      </c>
      <c r="HD2" s="190">
        <v>46229</v>
      </c>
      <c r="HE2" s="190">
        <v>46230</v>
      </c>
      <c r="HF2" s="190">
        <v>46231</v>
      </c>
      <c r="HG2" s="190">
        <v>46232</v>
      </c>
      <c r="HH2" s="190">
        <v>46233</v>
      </c>
      <c r="HI2" s="190">
        <v>46234</v>
      </c>
      <c r="HJ2" s="190">
        <v>46235</v>
      </c>
      <c r="HK2" s="190">
        <v>46236</v>
      </c>
      <c r="HL2" s="190">
        <v>46237</v>
      </c>
      <c r="HM2" s="190">
        <v>46238</v>
      </c>
      <c r="HN2" s="190">
        <v>46239</v>
      </c>
      <c r="HO2" s="190">
        <v>46240</v>
      </c>
      <c r="HP2" s="190">
        <v>46241</v>
      </c>
      <c r="HQ2" s="190">
        <v>46242</v>
      </c>
      <c r="HR2" s="190">
        <v>46243</v>
      </c>
      <c r="HS2" s="190">
        <v>46244</v>
      </c>
      <c r="HT2" s="190">
        <v>46245</v>
      </c>
      <c r="HU2" s="190">
        <v>46246</v>
      </c>
      <c r="HV2" s="190">
        <v>46247</v>
      </c>
      <c r="HW2" s="190">
        <v>46248</v>
      </c>
      <c r="HX2" s="190">
        <v>46249</v>
      </c>
      <c r="HY2" s="190">
        <v>46250</v>
      </c>
      <c r="HZ2" s="190">
        <v>46251</v>
      </c>
      <c r="IA2" s="190">
        <v>46252</v>
      </c>
      <c r="IB2" s="190">
        <v>46253</v>
      </c>
      <c r="IC2" s="190">
        <v>46254</v>
      </c>
      <c r="ID2" s="190">
        <v>46255</v>
      </c>
      <c r="IE2" s="190">
        <v>46256</v>
      </c>
      <c r="IF2" s="190">
        <v>46257</v>
      </c>
      <c r="IG2" s="190">
        <v>46258</v>
      </c>
      <c r="IH2" s="190">
        <v>46259</v>
      </c>
      <c r="II2" s="190">
        <v>46260</v>
      </c>
      <c r="IJ2" s="190">
        <v>46261</v>
      </c>
      <c r="IK2" s="190">
        <v>46262</v>
      </c>
      <c r="IL2" s="190">
        <v>46263</v>
      </c>
      <c r="IM2" s="190">
        <v>46264</v>
      </c>
      <c r="IN2" s="190">
        <v>46265</v>
      </c>
      <c r="IO2" s="190">
        <v>46266</v>
      </c>
      <c r="IP2" s="190">
        <v>46267</v>
      </c>
      <c r="IQ2" s="190">
        <v>46268</v>
      </c>
      <c r="IR2" s="190">
        <v>46269</v>
      </c>
      <c r="IS2" s="190">
        <v>46270</v>
      </c>
      <c r="IT2" s="190">
        <v>46271</v>
      </c>
      <c r="IU2" s="190">
        <v>46272</v>
      </c>
      <c r="IV2" s="190">
        <v>46273</v>
      </c>
      <c r="IW2" s="190">
        <v>46274</v>
      </c>
      <c r="IX2" s="190">
        <v>46275</v>
      </c>
      <c r="IY2" s="190">
        <v>46276</v>
      </c>
      <c r="IZ2" s="190">
        <v>46277</v>
      </c>
      <c r="JA2" s="190">
        <v>46278</v>
      </c>
      <c r="JB2" s="190">
        <v>46279</v>
      </c>
      <c r="JC2" s="190">
        <v>46280</v>
      </c>
      <c r="JD2" s="190">
        <v>46281</v>
      </c>
      <c r="JE2" s="190">
        <v>46282</v>
      </c>
      <c r="JF2" s="190">
        <v>46283</v>
      </c>
      <c r="JG2" s="190">
        <v>46284</v>
      </c>
      <c r="JH2" s="190">
        <v>46285</v>
      </c>
      <c r="JI2" s="190">
        <v>46286</v>
      </c>
      <c r="JJ2" s="190">
        <v>46287</v>
      </c>
      <c r="JK2" s="190">
        <v>46288</v>
      </c>
      <c r="JL2" s="190">
        <v>46289</v>
      </c>
      <c r="JM2" s="190">
        <v>46290</v>
      </c>
      <c r="JN2" s="190">
        <v>46291</v>
      </c>
      <c r="JO2" s="190">
        <v>46292</v>
      </c>
      <c r="JP2" s="190">
        <v>46293</v>
      </c>
      <c r="JQ2" s="190">
        <v>46294</v>
      </c>
      <c r="JR2" s="190">
        <v>46295</v>
      </c>
      <c r="JS2" s="190">
        <v>46296</v>
      </c>
      <c r="JT2" s="190">
        <v>46297</v>
      </c>
      <c r="JU2" s="190">
        <v>46298</v>
      </c>
      <c r="JV2" s="190">
        <v>46299</v>
      </c>
      <c r="JW2" s="190">
        <v>46300</v>
      </c>
      <c r="JX2" s="190">
        <v>46301</v>
      </c>
      <c r="JY2" s="190">
        <v>46302</v>
      </c>
      <c r="JZ2" s="190">
        <v>46303</v>
      </c>
      <c r="KA2" s="190">
        <v>46304</v>
      </c>
      <c r="KB2" s="190">
        <v>46305</v>
      </c>
      <c r="KC2" s="190">
        <v>46306</v>
      </c>
      <c r="KD2" s="190">
        <v>46307</v>
      </c>
      <c r="KE2" s="190">
        <v>46308</v>
      </c>
      <c r="KF2" s="190">
        <v>46309</v>
      </c>
      <c r="KG2" s="190">
        <v>46310</v>
      </c>
      <c r="KH2" s="190">
        <v>46311</v>
      </c>
      <c r="KI2" s="190">
        <v>46312</v>
      </c>
      <c r="KJ2" s="190">
        <v>46313</v>
      </c>
      <c r="KK2" s="190">
        <v>46314</v>
      </c>
      <c r="KL2" s="190">
        <v>46315</v>
      </c>
      <c r="KM2" s="190">
        <v>46316</v>
      </c>
      <c r="KN2" s="190">
        <v>46317</v>
      </c>
      <c r="KO2" s="190">
        <v>46318</v>
      </c>
      <c r="KP2" s="190">
        <v>46319</v>
      </c>
      <c r="KQ2" s="190">
        <v>46320</v>
      </c>
      <c r="KR2" s="190">
        <v>46321</v>
      </c>
      <c r="KS2" s="190">
        <v>46322</v>
      </c>
      <c r="KT2" s="190">
        <v>46323</v>
      </c>
      <c r="KU2" s="190">
        <v>46324</v>
      </c>
      <c r="KV2" s="190">
        <v>46325</v>
      </c>
      <c r="KW2" s="190">
        <v>46326</v>
      </c>
      <c r="KX2" s="190">
        <v>46327</v>
      </c>
      <c r="KY2" s="190">
        <v>46328</v>
      </c>
      <c r="KZ2" s="190">
        <v>46329</v>
      </c>
      <c r="LA2" s="190">
        <v>46330</v>
      </c>
      <c r="LB2" s="190">
        <v>46331</v>
      </c>
      <c r="LC2" s="190">
        <v>46332</v>
      </c>
      <c r="LD2" s="190">
        <v>46333</v>
      </c>
      <c r="LE2" s="190">
        <v>46334</v>
      </c>
      <c r="LF2" s="190">
        <v>46335</v>
      </c>
      <c r="LG2" s="190">
        <v>46336</v>
      </c>
      <c r="LH2" s="190">
        <v>46337</v>
      </c>
      <c r="LI2" s="190">
        <v>46338</v>
      </c>
      <c r="LJ2" s="190">
        <v>46339</v>
      </c>
      <c r="LK2" s="190">
        <v>46340</v>
      </c>
      <c r="LL2" s="190">
        <v>46341</v>
      </c>
      <c r="LM2" s="190">
        <v>46342</v>
      </c>
      <c r="LN2" s="190">
        <v>46343</v>
      </c>
      <c r="LO2" s="190">
        <v>46344</v>
      </c>
      <c r="LP2" s="190">
        <v>46345</v>
      </c>
      <c r="LQ2" s="190">
        <v>46346</v>
      </c>
      <c r="LR2" s="190">
        <v>46347</v>
      </c>
      <c r="LS2" s="190">
        <v>46348</v>
      </c>
      <c r="LT2" s="190">
        <v>46349</v>
      </c>
      <c r="LU2" s="190">
        <v>46350</v>
      </c>
      <c r="LV2" s="190">
        <v>46351</v>
      </c>
      <c r="LW2" s="190">
        <v>46352</v>
      </c>
      <c r="LX2" s="190">
        <v>46353</v>
      </c>
      <c r="LY2" s="190">
        <v>46354</v>
      </c>
      <c r="LZ2" s="190">
        <v>46355</v>
      </c>
      <c r="MA2" s="190">
        <v>46356</v>
      </c>
      <c r="MB2" s="190">
        <v>46357</v>
      </c>
      <c r="MC2" s="190">
        <v>46358</v>
      </c>
      <c r="MD2" s="190">
        <v>46359</v>
      </c>
      <c r="ME2" s="190">
        <v>46360</v>
      </c>
      <c r="MF2" s="190">
        <v>46361</v>
      </c>
      <c r="MG2" s="190">
        <v>46362</v>
      </c>
      <c r="MH2" s="190">
        <v>46363</v>
      </c>
      <c r="MI2" s="190">
        <v>46364</v>
      </c>
      <c r="MJ2" s="190">
        <v>46365</v>
      </c>
      <c r="MK2" s="190">
        <v>46366</v>
      </c>
      <c r="ML2" s="190">
        <v>46367</v>
      </c>
      <c r="MM2" s="190">
        <v>46368</v>
      </c>
      <c r="MN2" s="190">
        <v>46369</v>
      </c>
      <c r="MO2" s="190">
        <v>46370</v>
      </c>
      <c r="MP2" s="190">
        <v>46371</v>
      </c>
      <c r="MQ2" s="190">
        <v>46372</v>
      </c>
      <c r="MR2" s="190">
        <v>46373</v>
      </c>
      <c r="MS2" s="190">
        <v>46374</v>
      </c>
      <c r="MT2" s="190">
        <v>46375</v>
      </c>
      <c r="MU2" s="190">
        <v>46376</v>
      </c>
      <c r="MV2" s="190">
        <v>46377</v>
      </c>
      <c r="MW2" s="190">
        <v>46378</v>
      </c>
      <c r="MX2" s="190">
        <v>46379</v>
      </c>
      <c r="MY2" s="190">
        <v>46380</v>
      </c>
      <c r="MZ2" s="190">
        <v>46381</v>
      </c>
      <c r="NA2" s="190">
        <v>46382</v>
      </c>
      <c r="NB2" s="190">
        <v>46383</v>
      </c>
      <c r="NC2" s="190">
        <v>46384</v>
      </c>
      <c r="ND2" s="190">
        <v>46385</v>
      </c>
      <c r="NE2" s="190">
        <v>46386</v>
      </c>
      <c r="NF2" s="123"/>
      <c r="NG2" s="123"/>
      <c r="NH2" s="123"/>
      <c r="NI2" s="123"/>
      <c r="NJ2" s="123"/>
      <c r="NK2" s="123"/>
      <c r="NL2" s="123"/>
      <c r="NM2" s="123"/>
      <c r="NN2" s="123"/>
      <c r="NO2" s="123"/>
      <c r="NP2" s="123"/>
      <c r="NQ2" s="123"/>
      <c r="NR2" s="123"/>
      <c r="NS2" s="123"/>
      <c r="NT2" s="123"/>
      <c r="NU2" s="123"/>
      <c r="NV2" s="123"/>
      <c r="NW2" s="123"/>
      <c r="NX2" s="123"/>
      <c r="NY2" s="123"/>
      <c r="NZ2" s="123"/>
      <c r="OA2" s="123"/>
      <c r="OB2" s="123"/>
      <c r="OC2" s="123"/>
      <c r="OD2" s="123"/>
      <c r="OE2" s="123"/>
      <c r="OF2" s="123"/>
      <c r="OG2" s="123"/>
      <c r="OH2" s="123"/>
      <c r="OI2" s="123"/>
      <c r="OJ2" s="123"/>
      <c r="OK2" s="123"/>
      <c r="OL2" s="123"/>
      <c r="OM2" s="123"/>
      <c r="ON2" s="123"/>
      <c r="OO2" s="123"/>
      <c r="OP2" s="123"/>
      <c r="OQ2" s="123"/>
      <c r="OR2" s="123"/>
      <c r="OS2" s="123"/>
      <c r="OT2" s="123"/>
      <c r="OU2" s="123"/>
      <c r="OV2" s="123"/>
      <c r="OW2" s="123"/>
      <c r="OX2" s="123"/>
      <c r="OY2" s="123"/>
      <c r="OZ2" s="123"/>
      <c r="PA2" s="123"/>
      <c r="PB2" s="123"/>
      <c r="PC2" s="123"/>
      <c r="PD2" s="123"/>
      <c r="PE2" s="123"/>
      <c r="PF2" s="123"/>
      <c r="PG2" s="123"/>
      <c r="PH2" s="123"/>
      <c r="PI2" s="123"/>
      <c r="PJ2" s="123"/>
      <c r="PK2" s="123"/>
      <c r="PL2" s="123"/>
      <c r="PM2" s="123"/>
      <c r="PN2" s="123"/>
      <c r="PO2" s="123"/>
      <c r="PP2" s="123"/>
      <c r="PQ2" s="123"/>
      <c r="PR2" s="123"/>
      <c r="PS2" s="123"/>
      <c r="PT2" s="123"/>
      <c r="PU2" s="123"/>
      <c r="PV2" s="123"/>
      <c r="PW2" s="123"/>
      <c r="PX2" s="123"/>
      <c r="PY2" s="123"/>
      <c r="PZ2" s="123"/>
      <c r="QA2" s="123"/>
      <c r="QB2" s="123"/>
      <c r="QC2" s="123"/>
      <c r="QD2" s="123"/>
      <c r="QE2" s="123"/>
      <c r="QF2" s="123"/>
      <c r="QG2" s="123"/>
      <c r="QH2" s="123"/>
      <c r="QI2" s="123"/>
      <c r="QJ2" s="123"/>
      <c r="QK2" s="123"/>
      <c r="QL2" s="123"/>
      <c r="QM2" s="123"/>
      <c r="QN2" s="123"/>
      <c r="QO2" s="123"/>
      <c r="QP2" s="123"/>
      <c r="QQ2" s="123"/>
      <c r="QR2" s="123"/>
      <c r="QS2" s="123"/>
      <c r="QT2" s="123"/>
      <c r="QU2" s="123"/>
      <c r="QV2" s="123"/>
      <c r="QW2" s="123"/>
      <c r="QX2" s="123"/>
      <c r="QY2" s="123"/>
      <c r="QZ2" s="123"/>
      <c r="RA2" s="123"/>
      <c r="RB2" s="123"/>
      <c r="RC2" s="123"/>
      <c r="RD2" s="123"/>
      <c r="RE2" s="123"/>
      <c r="RF2" s="123"/>
      <c r="RG2" s="123"/>
      <c r="RH2" s="123"/>
      <c r="RI2" s="123"/>
      <c r="RJ2" s="123"/>
      <c r="RK2" s="123"/>
      <c r="RL2" s="123"/>
      <c r="RM2" s="123"/>
      <c r="RN2" s="123"/>
      <c r="RO2" s="123"/>
      <c r="RP2" s="123"/>
      <c r="RQ2" s="123"/>
      <c r="RR2" s="123"/>
      <c r="RS2" s="123"/>
      <c r="RT2" s="123"/>
      <c r="RU2" s="123"/>
      <c r="RV2" s="123"/>
      <c r="RW2" s="123"/>
      <c r="RX2" s="123"/>
      <c r="RY2" s="123"/>
      <c r="RZ2" s="123"/>
      <c r="SA2" s="123"/>
      <c r="SB2" s="123"/>
      <c r="SC2" s="123"/>
      <c r="SD2" s="123"/>
      <c r="SE2" s="123"/>
      <c r="SF2" s="123"/>
      <c r="SG2" s="123"/>
      <c r="SH2" s="123"/>
      <c r="SI2" s="123"/>
      <c r="SJ2" s="123"/>
      <c r="SK2" s="123"/>
      <c r="SL2" s="123"/>
      <c r="SM2" s="123"/>
      <c r="SN2" s="123"/>
      <c r="SO2" s="123"/>
      <c r="SP2" s="123"/>
      <c r="SQ2" s="123"/>
      <c r="SR2" s="123"/>
      <c r="SS2" s="123"/>
      <c r="ST2" s="123"/>
      <c r="SU2" s="123"/>
      <c r="SV2" s="123"/>
      <c r="SW2" s="123"/>
      <c r="SX2" s="123"/>
      <c r="SY2" s="123"/>
      <c r="SZ2" s="123"/>
      <c r="TA2" s="123"/>
      <c r="TB2" s="123"/>
      <c r="TC2" s="123"/>
      <c r="TD2" s="123"/>
      <c r="TE2" s="123"/>
      <c r="TF2" s="123"/>
      <c r="TG2" s="123"/>
      <c r="TH2" s="123"/>
      <c r="TI2" s="123"/>
      <c r="TJ2" s="123"/>
      <c r="TK2" s="123"/>
      <c r="TL2" s="123"/>
      <c r="TM2" s="123"/>
      <c r="TN2" s="123"/>
      <c r="TO2" s="123"/>
      <c r="TP2" s="123"/>
      <c r="TQ2" s="123"/>
      <c r="TR2" s="123"/>
      <c r="TS2" s="123"/>
      <c r="TT2" s="123"/>
      <c r="TU2" s="123"/>
      <c r="TV2" s="123"/>
      <c r="TW2" s="123"/>
      <c r="TX2" s="123"/>
      <c r="TY2" s="123"/>
      <c r="TZ2" s="123"/>
      <c r="UA2" s="123"/>
      <c r="UB2" s="123"/>
      <c r="UC2" s="123"/>
      <c r="UD2" s="123"/>
      <c r="UE2" s="123"/>
      <c r="UF2" s="123"/>
      <c r="UG2" s="123"/>
      <c r="UH2" s="123"/>
      <c r="UI2" s="123"/>
      <c r="UJ2" s="123"/>
      <c r="UK2" s="123"/>
      <c r="UL2" s="123"/>
      <c r="UM2" s="123"/>
      <c r="UN2" s="123"/>
      <c r="UO2" s="123"/>
      <c r="UP2" s="123"/>
      <c r="UQ2" s="123"/>
      <c r="UR2" s="123"/>
      <c r="US2" s="123"/>
      <c r="UT2" s="123"/>
      <c r="UU2" s="123"/>
      <c r="UV2" s="123"/>
      <c r="UW2" s="123"/>
      <c r="UX2" s="123"/>
      <c r="UY2" s="123"/>
      <c r="UZ2" s="123"/>
      <c r="VA2" s="123"/>
      <c r="VB2" s="123"/>
      <c r="VC2" s="123"/>
      <c r="VD2" s="123"/>
      <c r="VE2" s="123"/>
      <c r="VF2" s="123"/>
      <c r="VG2" s="123"/>
      <c r="VH2" s="123"/>
      <c r="VI2" s="123"/>
      <c r="VJ2" s="123"/>
      <c r="VK2" s="123"/>
      <c r="VL2" s="123"/>
      <c r="VM2" s="123"/>
      <c r="VN2" s="123"/>
      <c r="VO2" s="123"/>
      <c r="VP2" s="123"/>
      <c r="VQ2" s="123"/>
      <c r="VR2" s="123"/>
      <c r="VS2" s="123"/>
      <c r="VT2" s="123"/>
      <c r="VU2" s="123"/>
      <c r="VV2" s="123"/>
      <c r="VW2" s="123"/>
      <c r="VX2" s="123"/>
      <c r="VY2" s="123"/>
      <c r="VZ2" s="123"/>
      <c r="WA2" s="123"/>
      <c r="WB2" s="123"/>
      <c r="WC2" s="123"/>
      <c r="WD2" s="123"/>
      <c r="WE2" s="123"/>
      <c r="WF2" s="123"/>
      <c r="WG2" s="123"/>
      <c r="WH2" s="123"/>
      <c r="WI2" s="123"/>
      <c r="WJ2" s="123"/>
      <c r="WK2" s="123"/>
      <c r="WL2" s="123"/>
      <c r="WM2" s="123"/>
      <c r="WN2" s="123"/>
      <c r="WO2" s="123"/>
      <c r="WP2" s="123"/>
      <c r="WQ2" s="123"/>
      <c r="WR2" s="123"/>
      <c r="WS2" s="123"/>
      <c r="WT2" s="123"/>
      <c r="WU2" s="123"/>
      <c r="WV2" s="123"/>
      <c r="WW2" s="123"/>
      <c r="WX2" s="123"/>
      <c r="WY2" s="123"/>
      <c r="WZ2" s="123"/>
      <c r="XA2" s="123"/>
      <c r="XB2" s="123"/>
      <c r="XC2" s="123"/>
      <c r="XD2" s="123"/>
      <c r="XE2" s="123"/>
      <c r="XF2" s="123"/>
      <c r="XG2" s="123"/>
      <c r="XH2" s="123"/>
      <c r="XI2" s="123"/>
      <c r="XJ2" s="123"/>
      <c r="XK2" s="123"/>
      <c r="XL2" s="123"/>
      <c r="XM2" s="123"/>
      <c r="XN2" s="123"/>
      <c r="XO2" s="123"/>
      <c r="XP2" s="123"/>
      <c r="XQ2" s="123"/>
      <c r="XR2" s="123"/>
      <c r="XS2" s="123"/>
      <c r="XT2" s="123"/>
      <c r="XU2" s="123"/>
      <c r="XV2" s="123"/>
      <c r="XW2" s="123"/>
      <c r="XX2" s="123"/>
      <c r="XY2" s="123"/>
      <c r="XZ2" s="123"/>
      <c r="YA2" s="123"/>
      <c r="YB2" s="123"/>
      <c r="YC2" s="123"/>
      <c r="YD2" s="123"/>
      <c r="YE2" s="123"/>
      <c r="YF2" s="123"/>
      <c r="YG2" s="123"/>
      <c r="YH2" s="123"/>
      <c r="YI2" s="123"/>
      <c r="YJ2" s="123"/>
      <c r="YK2" s="123"/>
      <c r="YL2" s="123"/>
      <c r="YM2" s="123"/>
      <c r="YN2" s="123"/>
      <c r="YO2" s="123"/>
      <c r="YP2" s="123"/>
      <c r="YQ2" s="123"/>
      <c r="YR2" s="123"/>
      <c r="YS2" s="123"/>
      <c r="YT2" s="123"/>
      <c r="YU2" s="123"/>
      <c r="YV2" s="123"/>
      <c r="YW2" s="123"/>
      <c r="YX2" s="123"/>
      <c r="YY2" s="123"/>
      <c r="YZ2" s="123"/>
      <c r="ZA2" s="123"/>
      <c r="ZB2" s="123"/>
      <c r="ZC2" s="123"/>
      <c r="ZD2" s="123"/>
      <c r="ZE2" s="123"/>
      <c r="ZF2" s="123"/>
      <c r="ZG2" s="123"/>
      <c r="ZH2" s="123"/>
      <c r="ZI2" s="123"/>
      <c r="ZJ2" s="123"/>
      <c r="ZK2" s="123"/>
      <c r="ZL2" s="123"/>
      <c r="ZM2" s="123"/>
      <c r="ZN2" s="123"/>
      <c r="ZO2" s="123"/>
      <c r="ZP2" s="123"/>
      <c r="ZQ2" s="123"/>
      <c r="ZR2" s="123"/>
      <c r="ZS2" s="123"/>
      <c r="ZT2" s="123"/>
      <c r="ZU2" s="123"/>
      <c r="ZV2" s="123"/>
      <c r="ZW2" s="123"/>
      <c r="ZX2" s="123"/>
      <c r="ZY2" s="123"/>
      <c r="ZZ2" s="123"/>
      <c r="AAA2" s="123"/>
      <c r="AAB2" s="123"/>
      <c r="AAC2" s="123"/>
      <c r="AAD2" s="123"/>
      <c r="AAE2" s="123"/>
      <c r="AAF2" s="123"/>
      <c r="AAG2" s="123"/>
      <c r="AAH2" s="123"/>
      <c r="AAI2" s="123"/>
      <c r="AAJ2" s="123"/>
      <c r="AAK2" s="123"/>
      <c r="AAL2" s="123"/>
      <c r="AAM2" s="123"/>
      <c r="AAN2" s="123"/>
      <c r="AAO2" s="123"/>
      <c r="AAP2" s="123"/>
      <c r="AAQ2" s="123"/>
      <c r="AAR2" s="123"/>
      <c r="AAS2" s="123"/>
      <c r="AAT2" s="123"/>
      <c r="AAU2" s="123"/>
      <c r="AAV2" s="123"/>
      <c r="AAW2" s="123"/>
      <c r="AAX2" s="123"/>
      <c r="AAY2" s="123"/>
      <c r="AAZ2" s="123"/>
      <c r="ABA2" s="123"/>
      <c r="ABB2" s="123"/>
      <c r="ABC2" s="123"/>
      <c r="ABD2" s="123"/>
      <c r="ABE2" s="123"/>
      <c r="ABF2" s="123"/>
      <c r="ABG2" s="123"/>
      <c r="ABH2" s="123"/>
      <c r="ABI2" s="123"/>
      <c r="ABJ2" s="123"/>
      <c r="ABK2" s="123"/>
      <c r="ABL2" s="123"/>
      <c r="ABM2" s="123"/>
      <c r="ABN2" s="123"/>
      <c r="ABO2" s="123"/>
      <c r="ABP2" s="123"/>
      <c r="ABQ2" s="123"/>
      <c r="ABR2" s="123"/>
      <c r="ABS2" s="123"/>
      <c r="ABT2" s="123"/>
      <c r="ABU2" s="123"/>
      <c r="ABV2" s="123"/>
      <c r="ABW2" s="123"/>
      <c r="ABX2" s="123"/>
      <c r="ABY2" s="123"/>
      <c r="ABZ2" s="123"/>
      <c r="ACA2" s="123"/>
      <c r="ACB2" s="123"/>
      <c r="ACC2" s="123"/>
      <c r="ACD2" s="123"/>
      <c r="ACE2" s="123"/>
      <c r="ACF2" s="123"/>
      <c r="ACG2" s="123"/>
      <c r="ACH2" s="123"/>
      <c r="ACI2" s="123"/>
      <c r="ACJ2" s="123"/>
      <c r="ACK2" s="123"/>
      <c r="ACL2" s="123"/>
      <c r="ACM2" s="123"/>
      <c r="ACN2" s="123"/>
      <c r="ACO2" s="123"/>
      <c r="ACP2" s="123"/>
      <c r="ACQ2" s="123"/>
      <c r="ACR2" s="123"/>
      <c r="ACS2" s="123"/>
      <c r="ACT2" s="123"/>
      <c r="ACU2" s="123"/>
      <c r="ACV2" s="123"/>
      <c r="ACW2" s="123"/>
      <c r="ACX2" s="123"/>
      <c r="ACY2" s="123"/>
      <c r="ACZ2" s="123"/>
      <c r="ADA2" s="123"/>
      <c r="ADB2" s="123"/>
      <c r="ADC2" s="123"/>
      <c r="ADD2" s="123"/>
      <c r="ADE2" s="123"/>
      <c r="ADF2" s="123"/>
      <c r="ADG2" s="123"/>
      <c r="ADH2" s="123"/>
      <c r="ADI2" s="123"/>
      <c r="ADJ2" s="123"/>
      <c r="ADK2" s="123"/>
      <c r="ADL2" s="123"/>
      <c r="ADM2" s="123"/>
      <c r="ADN2" s="123"/>
      <c r="ADO2" s="123"/>
      <c r="ADP2" s="123"/>
      <c r="ADQ2" s="123"/>
      <c r="ADR2" s="123"/>
      <c r="ADS2" s="123"/>
      <c r="ADT2" s="123"/>
      <c r="ADU2" s="123"/>
      <c r="ADV2" s="123"/>
      <c r="ADW2" s="123"/>
      <c r="ADX2" s="123"/>
      <c r="ADY2" s="123"/>
      <c r="ADZ2" s="123"/>
      <c r="AEA2" s="123"/>
      <c r="AEB2" s="123"/>
      <c r="AEC2" s="123"/>
      <c r="AED2" s="123"/>
      <c r="AEE2" s="123"/>
      <c r="AEF2" s="123"/>
      <c r="AEG2" s="123"/>
      <c r="AEH2" s="123"/>
      <c r="AEI2" s="123"/>
      <c r="AEJ2" s="123"/>
      <c r="AEK2" s="123"/>
      <c r="AEL2" s="123"/>
      <c r="AEM2" s="123"/>
      <c r="AEN2" s="123"/>
      <c r="AEO2" s="123"/>
      <c r="AEP2" s="123"/>
      <c r="AEQ2" s="123"/>
      <c r="AER2" s="123"/>
      <c r="AES2" s="123"/>
      <c r="AET2" s="123"/>
      <c r="AEU2" s="123"/>
      <c r="AEV2" s="123"/>
      <c r="AEW2" s="123"/>
      <c r="AEX2" s="123"/>
      <c r="AEY2" s="123"/>
      <c r="AEZ2" s="123"/>
      <c r="AFA2" s="123"/>
      <c r="AFB2" s="123"/>
      <c r="AFC2" s="123"/>
      <c r="AFD2" s="123"/>
      <c r="AFE2" s="123"/>
      <c r="AFF2" s="123"/>
      <c r="AFG2" s="123"/>
      <c r="AFH2" s="123"/>
      <c r="AFI2" s="123"/>
      <c r="AFJ2" s="123"/>
      <c r="AFK2" s="123"/>
      <c r="AFL2" s="123"/>
      <c r="AFM2" s="123"/>
      <c r="AFN2" s="123"/>
      <c r="AFO2" s="123"/>
      <c r="AFP2" s="123"/>
      <c r="AFQ2" s="123"/>
      <c r="AFR2" s="123"/>
      <c r="AFS2" s="123"/>
      <c r="AFT2" s="123"/>
      <c r="AFU2" s="123"/>
      <c r="AFV2" s="123"/>
      <c r="AFW2" s="123"/>
      <c r="AFX2" s="123"/>
      <c r="AFY2" s="123"/>
      <c r="AFZ2" s="123"/>
      <c r="AGA2" s="123"/>
      <c r="AGB2" s="123"/>
      <c r="AGC2" s="123"/>
      <c r="AGD2" s="123"/>
      <c r="AGE2" s="123"/>
      <c r="AGF2" s="123"/>
      <c r="AGG2" s="123"/>
      <c r="AGH2" s="123"/>
      <c r="AGI2" s="123"/>
      <c r="AGJ2" s="123"/>
      <c r="AGK2" s="123"/>
      <c r="AGL2" s="123"/>
      <c r="AGM2" s="123"/>
      <c r="AGN2" s="123"/>
      <c r="AGO2" s="123"/>
      <c r="AGP2" s="123"/>
      <c r="AGQ2" s="123"/>
      <c r="AGR2" s="123"/>
      <c r="AGS2" s="123"/>
      <c r="AGT2" s="123"/>
      <c r="AGU2" s="123"/>
      <c r="AGV2" s="123"/>
      <c r="AGW2" s="123"/>
      <c r="AGX2" s="123"/>
      <c r="AGY2" s="123"/>
      <c r="AGZ2" s="123"/>
      <c r="AHA2" s="123"/>
      <c r="AHB2" s="123"/>
      <c r="AHC2" s="123"/>
      <c r="AHD2" s="123"/>
      <c r="AHE2" s="123"/>
      <c r="AHF2" s="123"/>
      <c r="AHG2" s="123"/>
      <c r="AHH2" s="123"/>
      <c r="AHI2" s="123"/>
      <c r="AHJ2" s="123"/>
      <c r="AHK2" s="123"/>
      <c r="AHL2" s="123"/>
      <c r="AHM2" s="123"/>
      <c r="AHN2" s="123"/>
      <c r="AHO2" s="123"/>
      <c r="AHP2" s="123"/>
      <c r="AHQ2" s="123"/>
      <c r="AHR2" s="123"/>
      <c r="AHS2" s="123"/>
      <c r="AHT2" s="123"/>
      <c r="AHU2" s="123"/>
      <c r="AHV2" s="123"/>
      <c r="AHW2" s="123"/>
      <c r="AHX2" s="123"/>
      <c r="AHY2" s="123"/>
      <c r="AHZ2" s="123"/>
      <c r="AIA2" s="123"/>
      <c r="AIB2" s="123"/>
      <c r="AIC2" s="123"/>
      <c r="AID2" s="123"/>
      <c r="AIE2" s="123"/>
      <c r="AIF2" s="123"/>
      <c r="AIG2" s="123"/>
      <c r="AIH2" s="123"/>
      <c r="AII2" s="123"/>
      <c r="AIJ2" s="123"/>
      <c r="AIK2" s="123"/>
      <c r="AIL2" s="123"/>
      <c r="AIM2" s="123"/>
      <c r="AIN2" s="123"/>
      <c r="AIO2" s="123"/>
      <c r="AIP2" s="123"/>
      <c r="AIQ2" s="123"/>
      <c r="AIR2" s="123"/>
      <c r="AIS2" s="123"/>
      <c r="AIT2" s="123"/>
      <c r="AIU2" s="123"/>
      <c r="AIV2" s="123"/>
      <c r="AIW2" s="123"/>
      <c r="AIX2" s="123"/>
      <c r="AIY2" s="123"/>
      <c r="AIZ2" s="123"/>
      <c r="AJA2" s="123"/>
      <c r="AJB2" s="123"/>
      <c r="AJC2" s="123"/>
      <c r="AJD2" s="123"/>
      <c r="AJE2" s="123"/>
      <c r="AJF2" s="123"/>
      <c r="AJG2" s="123"/>
      <c r="AJH2" s="123"/>
      <c r="AJI2" s="123"/>
      <c r="AJJ2" s="123"/>
      <c r="AJK2" s="123"/>
      <c r="AJL2" s="123"/>
      <c r="AJM2" s="123"/>
      <c r="AJN2" s="123"/>
      <c r="AJO2" s="123"/>
      <c r="AJP2" s="123"/>
      <c r="AJQ2" s="123"/>
      <c r="AJR2" s="123"/>
      <c r="AJS2" s="123"/>
      <c r="AJT2" s="123"/>
      <c r="AJU2" s="123"/>
      <c r="AJV2" s="123"/>
      <c r="AJW2" s="123"/>
      <c r="AJX2" s="123"/>
      <c r="AJY2" s="123"/>
      <c r="AJZ2" s="123"/>
      <c r="AKA2" s="123"/>
      <c r="AKB2" s="123"/>
      <c r="AKC2" s="123"/>
      <c r="AKD2" s="123"/>
      <c r="AKE2" s="123"/>
      <c r="AKF2" s="123"/>
      <c r="AKG2" s="123"/>
      <c r="AKH2" s="123"/>
      <c r="AKI2" s="123"/>
      <c r="AKJ2" s="123"/>
      <c r="AKK2" s="123"/>
      <c r="AKL2" s="123"/>
      <c r="AKM2" s="123"/>
      <c r="AKN2" s="123"/>
      <c r="AKO2" s="123"/>
      <c r="AKP2" s="123"/>
      <c r="AKQ2" s="123"/>
      <c r="AKR2" s="123"/>
      <c r="AKS2" s="123"/>
      <c r="AKT2" s="123"/>
      <c r="AKU2" s="123"/>
      <c r="AKV2" s="123"/>
      <c r="AKW2" s="123"/>
      <c r="AKX2" s="123"/>
      <c r="AKY2" s="123"/>
      <c r="AKZ2" s="123"/>
      <c r="ALA2" s="123"/>
      <c r="ALB2" s="123"/>
      <c r="ALC2" s="123"/>
      <c r="ALD2" s="123"/>
      <c r="ALE2" s="123"/>
      <c r="ALF2" s="123"/>
      <c r="ALG2" s="123"/>
      <c r="ALH2" s="123"/>
      <c r="ALI2" s="123"/>
      <c r="ALJ2" s="123"/>
      <c r="ALK2" s="123"/>
      <c r="ALL2" s="123"/>
      <c r="ALM2" s="123"/>
      <c r="ALN2" s="123"/>
      <c r="ALO2" s="123"/>
      <c r="ALP2" s="123"/>
      <c r="ALQ2" s="123"/>
      <c r="ALR2" s="123"/>
      <c r="ALS2" s="123"/>
      <c r="ALT2" s="123"/>
      <c r="ALU2" s="123"/>
      <c r="ALV2" s="123"/>
      <c r="ALW2" s="123"/>
      <c r="ALX2" s="123"/>
      <c r="ALY2" s="123"/>
      <c r="ALZ2" s="123"/>
      <c r="AMA2" s="123"/>
      <c r="AMB2" s="123"/>
      <c r="AMC2" s="123"/>
      <c r="AMD2" s="123"/>
      <c r="AME2" s="123"/>
      <c r="AMF2" s="123"/>
      <c r="AMG2" s="123"/>
      <c r="AMH2" s="123"/>
      <c r="AMI2" s="123"/>
      <c r="AMJ2" s="123"/>
      <c r="AMK2" s="123"/>
      <c r="AML2" s="123"/>
      <c r="AMM2" s="123"/>
      <c r="AMN2" s="123"/>
      <c r="AMO2" s="123"/>
      <c r="AMP2" s="123"/>
      <c r="AMQ2" s="123"/>
      <c r="AMR2" s="123"/>
      <c r="AMS2" s="123"/>
      <c r="AMT2" s="123"/>
      <c r="AMU2" s="123"/>
      <c r="AMV2" s="123"/>
      <c r="AMW2" s="123"/>
      <c r="AMX2" s="123"/>
      <c r="AMY2" s="123"/>
      <c r="AMZ2" s="123"/>
      <c r="ANA2" s="123"/>
      <c r="ANB2" s="123"/>
      <c r="ANC2" s="123"/>
      <c r="AND2" s="123"/>
      <c r="ANE2" s="123"/>
      <c r="ANF2" s="123"/>
      <c r="ANG2" s="123"/>
      <c r="ANH2" s="123"/>
      <c r="ANI2" s="123"/>
      <c r="ANJ2" s="123"/>
      <c r="ANK2" s="123"/>
      <c r="ANL2" s="123"/>
      <c r="ANM2" s="123"/>
      <c r="ANN2" s="123"/>
      <c r="ANO2" s="123"/>
      <c r="ANP2" s="123"/>
      <c r="ANQ2" s="123"/>
      <c r="ANR2" s="123"/>
      <c r="ANS2" s="123"/>
      <c r="ANT2" s="123"/>
      <c r="ANU2" s="123"/>
    </row>
    <row r="3" spans="1:1061" x14ac:dyDescent="0.2">
      <c r="A3" s="4" t="s">
        <v>1</v>
      </c>
      <c r="B3" s="203">
        <v>3818</v>
      </c>
      <c r="C3" s="183">
        <f t="shared" ref="C3:BN3" si="0">+B3+B4-B9-B10-B11</f>
        <v>3818</v>
      </c>
      <c r="D3" s="183">
        <f t="shared" si="0"/>
        <v>5670</v>
      </c>
      <c r="E3" s="183">
        <f t="shared" si="0"/>
        <v>6200</v>
      </c>
      <c r="F3" s="183">
        <f t="shared" si="0"/>
        <v>7369</v>
      </c>
      <c r="G3" s="183">
        <f t="shared" si="0"/>
        <v>7369</v>
      </c>
      <c r="H3" s="183">
        <f t="shared" si="0"/>
        <v>7369</v>
      </c>
      <c r="I3" s="183">
        <f t="shared" si="0"/>
        <v>7369</v>
      </c>
      <c r="J3" s="183">
        <f t="shared" si="0"/>
        <v>7369</v>
      </c>
      <c r="K3" s="183">
        <f t="shared" si="0"/>
        <v>7489</v>
      </c>
      <c r="L3" s="183">
        <f t="shared" si="0"/>
        <v>7049</v>
      </c>
      <c r="M3" s="183">
        <f t="shared" si="0"/>
        <v>6292</v>
      </c>
      <c r="N3" s="183">
        <f t="shared" si="0"/>
        <v>5738</v>
      </c>
      <c r="O3" s="183">
        <f t="shared" si="0"/>
        <v>4456</v>
      </c>
      <c r="P3" s="183">
        <f t="shared" si="0"/>
        <v>4456</v>
      </c>
      <c r="Q3" s="183">
        <f t="shared" si="0"/>
        <v>4456</v>
      </c>
      <c r="R3" s="183">
        <f t="shared" si="0"/>
        <v>4674</v>
      </c>
      <c r="S3" s="183">
        <f t="shared" si="0"/>
        <v>5369</v>
      </c>
      <c r="T3" s="183">
        <f t="shared" si="0"/>
        <v>5049</v>
      </c>
      <c r="U3" s="183">
        <f t="shared" si="0"/>
        <v>4276</v>
      </c>
      <c r="V3" s="183">
        <f t="shared" si="0"/>
        <v>3303</v>
      </c>
      <c r="W3" s="183">
        <f t="shared" si="0"/>
        <v>3303</v>
      </c>
      <c r="X3" s="183">
        <f t="shared" si="0"/>
        <v>3303</v>
      </c>
      <c r="Y3" s="183">
        <f t="shared" si="0"/>
        <v>3431</v>
      </c>
      <c r="Z3" s="183">
        <f t="shared" si="0"/>
        <v>3436</v>
      </c>
      <c r="AA3" s="183">
        <f t="shared" si="0"/>
        <v>3179</v>
      </c>
      <c r="AB3" s="183">
        <f t="shared" si="0"/>
        <v>3062</v>
      </c>
      <c r="AC3" s="183">
        <f t="shared" si="0"/>
        <v>1974</v>
      </c>
      <c r="AD3" s="183">
        <f t="shared" si="0"/>
        <v>1974</v>
      </c>
      <c r="AE3" s="183">
        <f t="shared" si="0"/>
        <v>1974</v>
      </c>
      <c r="AF3" s="183">
        <f t="shared" si="0"/>
        <v>3136</v>
      </c>
      <c r="AG3" s="183">
        <f t="shared" si="0"/>
        <v>3113</v>
      </c>
      <c r="AH3" s="183">
        <f t="shared" si="0"/>
        <v>2716</v>
      </c>
      <c r="AI3" s="183">
        <f t="shared" si="0"/>
        <v>1913</v>
      </c>
      <c r="AJ3" s="183">
        <f t="shared" si="0"/>
        <v>758</v>
      </c>
      <c r="AK3" s="183">
        <f t="shared" si="0"/>
        <v>758</v>
      </c>
      <c r="AL3" s="183">
        <f t="shared" si="0"/>
        <v>758</v>
      </c>
      <c r="AM3" s="183">
        <f t="shared" si="0"/>
        <v>2676</v>
      </c>
      <c r="AN3" s="183">
        <f t="shared" si="0"/>
        <v>2322</v>
      </c>
      <c r="AO3" s="183">
        <f t="shared" si="0"/>
        <v>2617</v>
      </c>
      <c r="AP3" s="183">
        <f t="shared" si="0"/>
        <v>2155</v>
      </c>
      <c r="AQ3" s="183">
        <f t="shared" si="0"/>
        <v>431</v>
      </c>
      <c r="AR3" s="183">
        <f t="shared" si="0"/>
        <v>431</v>
      </c>
      <c r="AS3" s="183">
        <f t="shared" si="0"/>
        <v>431</v>
      </c>
      <c r="AT3" s="183">
        <f t="shared" si="0"/>
        <v>2118</v>
      </c>
      <c r="AU3" s="183">
        <f t="shared" si="0"/>
        <v>1951</v>
      </c>
      <c r="AV3" s="183">
        <f t="shared" si="0"/>
        <v>2005</v>
      </c>
      <c r="AW3" s="183">
        <f t="shared" si="0"/>
        <v>984</v>
      </c>
      <c r="AX3" s="183">
        <f t="shared" si="0"/>
        <v>324</v>
      </c>
      <c r="AY3" s="183">
        <f t="shared" si="0"/>
        <v>324</v>
      </c>
      <c r="AZ3" s="183">
        <f t="shared" si="0"/>
        <v>324</v>
      </c>
      <c r="BA3" s="183">
        <f t="shared" si="0"/>
        <v>1659</v>
      </c>
      <c r="BB3" s="183">
        <f t="shared" si="0"/>
        <v>1531</v>
      </c>
      <c r="BC3" s="183">
        <f t="shared" si="0"/>
        <v>1260</v>
      </c>
      <c r="BD3" s="183">
        <f t="shared" si="0"/>
        <v>1836</v>
      </c>
      <c r="BE3" s="183">
        <f t="shared" si="0"/>
        <v>818</v>
      </c>
      <c r="BF3" s="183">
        <f t="shared" si="0"/>
        <v>818</v>
      </c>
      <c r="BG3" s="183">
        <f t="shared" si="0"/>
        <v>818</v>
      </c>
      <c r="BH3" s="183">
        <f t="shared" si="0"/>
        <v>3754</v>
      </c>
      <c r="BI3" s="183">
        <f t="shared" si="0"/>
        <v>3734</v>
      </c>
      <c r="BJ3" s="183">
        <f t="shared" si="0"/>
        <v>2319</v>
      </c>
      <c r="BK3" s="183">
        <f t="shared" si="0"/>
        <v>1387</v>
      </c>
      <c r="BL3" s="183">
        <f t="shared" si="0"/>
        <v>934</v>
      </c>
      <c r="BM3" s="183">
        <f t="shared" si="0"/>
        <v>934</v>
      </c>
      <c r="BN3" s="183">
        <f t="shared" si="0"/>
        <v>934</v>
      </c>
      <c r="BO3" s="183">
        <f t="shared" ref="BO3:DZ3" si="1">+BN3+BN4-BN9-BN10-BN11</f>
        <v>3271</v>
      </c>
      <c r="BP3" s="183">
        <f t="shared" si="1"/>
        <v>2796</v>
      </c>
      <c r="BQ3" s="183">
        <f t="shared" si="1"/>
        <v>3428</v>
      </c>
      <c r="BR3" s="183">
        <f t="shared" si="1"/>
        <v>2546</v>
      </c>
      <c r="BS3" s="183">
        <f t="shared" si="1"/>
        <v>1336</v>
      </c>
      <c r="BT3" s="183">
        <f t="shared" si="1"/>
        <v>1336</v>
      </c>
      <c r="BU3" s="183">
        <f t="shared" si="1"/>
        <v>1336</v>
      </c>
      <c r="BV3" s="183">
        <f t="shared" si="1"/>
        <v>1893</v>
      </c>
      <c r="BW3" s="183">
        <f t="shared" si="1"/>
        <v>2230</v>
      </c>
      <c r="BX3" s="183">
        <f t="shared" si="1"/>
        <v>1313</v>
      </c>
      <c r="BY3" s="183">
        <f t="shared" si="1"/>
        <v>1628</v>
      </c>
      <c r="BZ3" s="183">
        <f t="shared" si="1"/>
        <v>428</v>
      </c>
      <c r="CA3" s="183">
        <f t="shared" si="1"/>
        <v>428</v>
      </c>
      <c r="CB3" s="183">
        <f t="shared" si="1"/>
        <v>428</v>
      </c>
      <c r="CC3" s="183">
        <f t="shared" si="1"/>
        <v>2158</v>
      </c>
      <c r="CD3" s="183">
        <f t="shared" si="1"/>
        <v>2067</v>
      </c>
      <c r="CE3" s="183">
        <f t="shared" si="1"/>
        <v>2262</v>
      </c>
      <c r="CF3" s="183">
        <f t="shared" si="1"/>
        <v>715</v>
      </c>
      <c r="CG3" s="183">
        <f t="shared" si="1"/>
        <v>733</v>
      </c>
      <c r="CH3" s="183">
        <f t="shared" si="1"/>
        <v>733</v>
      </c>
      <c r="CI3" s="183">
        <f t="shared" si="1"/>
        <v>733</v>
      </c>
      <c r="CJ3" s="183">
        <f t="shared" si="1"/>
        <v>2007</v>
      </c>
      <c r="CK3" s="183">
        <f t="shared" si="1"/>
        <v>1940</v>
      </c>
      <c r="CL3" s="183">
        <f t="shared" si="1"/>
        <v>2308</v>
      </c>
      <c r="CM3" s="183">
        <f t="shared" si="1"/>
        <v>1187</v>
      </c>
      <c r="CN3" s="183">
        <f t="shared" si="1"/>
        <v>1187</v>
      </c>
      <c r="CO3" s="183">
        <f t="shared" si="1"/>
        <v>1187</v>
      </c>
      <c r="CP3" s="183">
        <f t="shared" si="1"/>
        <v>1187</v>
      </c>
      <c r="CQ3" s="183">
        <f t="shared" si="1"/>
        <v>1649</v>
      </c>
      <c r="CR3" s="183">
        <f t="shared" si="1"/>
        <v>2482</v>
      </c>
      <c r="CS3" s="183">
        <f t="shared" si="1"/>
        <v>1809</v>
      </c>
      <c r="CT3" s="183">
        <f t="shared" si="1"/>
        <v>795</v>
      </c>
      <c r="CU3" s="183">
        <f t="shared" si="1"/>
        <v>795</v>
      </c>
      <c r="CV3" s="183">
        <f t="shared" si="1"/>
        <v>795</v>
      </c>
      <c r="CW3" s="183">
        <f t="shared" si="1"/>
        <v>795</v>
      </c>
      <c r="CX3" s="183">
        <f t="shared" si="1"/>
        <v>2132</v>
      </c>
      <c r="CY3" s="183">
        <f t="shared" si="1"/>
        <v>1652</v>
      </c>
      <c r="CZ3" s="183">
        <f t="shared" si="1"/>
        <v>1884</v>
      </c>
      <c r="DA3" s="183">
        <f t="shared" si="1"/>
        <v>744</v>
      </c>
      <c r="DB3" s="183">
        <f t="shared" si="1"/>
        <v>308</v>
      </c>
      <c r="DC3" s="183">
        <f t="shared" si="1"/>
        <v>308</v>
      </c>
      <c r="DD3" s="183">
        <f t="shared" si="1"/>
        <v>308</v>
      </c>
      <c r="DE3" s="183">
        <f t="shared" si="1"/>
        <v>1583</v>
      </c>
      <c r="DF3" s="183">
        <f t="shared" si="1"/>
        <v>1016</v>
      </c>
      <c r="DG3" s="183">
        <f t="shared" si="1"/>
        <v>1153</v>
      </c>
      <c r="DH3" s="183">
        <f t="shared" si="1"/>
        <v>629</v>
      </c>
      <c r="DI3" s="183">
        <f t="shared" si="1"/>
        <v>309</v>
      </c>
      <c r="DJ3" s="183">
        <f t="shared" si="1"/>
        <v>309</v>
      </c>
      <c r="DK3" s="183">
        <f t="shared" si="1"/>
        <v>309</v>
      </c>
      <c r="DL3" s="183">
        <f t="shared" si="1"/>
        <v>891</v>
      </c>
      <c r="DM3" s="183">
        <f t="shared" si="1"/>
        <v>1119</v>
      </c>
      <c r="DN3" s="183">
        <f t="shared" si="1"/>
        <v>500</v>
      </c>
      <c r="DO3" s="183">
        <f t="shared" si="1"/>
        <v>500</v>
      </c>
      <c r="DP3" s="183">
        <f t="shared" si="1"/>
        <v>500</v>
      </c>
      <c r="DQ3" s="183">
        <f t="shared" si="1"/>
        <v>500</v>
      </c>
      <c r="DR3" s="183">
        <f t="shared" si="1"/>
        <v>500</v>
      </c>
      <c r="DS3" s="183">
        <f t="shared" si="1"/>
        <v>500</v>
      </c>
      <c r="DT3" s="183">
        <f t="shared" si="1"/>
        <v>689</v>
      </c>
      <c r="DU3" s="183">
        <f t="shared" si="1"/>
        <v>220</v>
      </c>
      <c r="DV3" s="183">
        <f t="shared" si="1"/>
        <v>220</v>
      </c>
      <c r="DW3" s="183">
        <f t="shared" si="1"/>
        <v>220</v>
      </c>
      <c r="DX3" s="183">
        <f t="shared" si="1"/>
        <v>220</v>
      </c>
      <c r="DY3" s="183">
        <f t="shared" si="1"/>
        <v>220</v>
      </c>
      <c r="DZ3" s="183">
        <f t="shared" si="1"/>
        <v>698</v>
      </c>
      <c r="EA3" s="183">
        <f t="shared" ref="EA3:GL3" si="2">+DZ3+DZ4-DZ9-DZ10-DZ11</f>
        <v>698</v>
      </c>
      <c r="EB3" s="183">
        <f t="shared" si="2"/>
        <v>541</v>
      </c>
      <c r="EC3" s="183">
        <f t="shared" si="2"/>
        <v>720</v>
      </c>
      <c r="ED3" s="183">
        <f t="shared" si="2"/>
        <v>277</v>
      </c>
      <c r="EE3" s="183">
        <f t="shared" si="2"/>
        <v>277</v>
      </c>
      <c r="EF3" s="183">
        <f t="shared" si="2"/>
        <v>277</v>
      </c>
      <c r="EG3" s="183">
        <f t="shared" si="2"/>
        <v>772</v>
      </c>
      <c r="EH3" s="183">
        <f t="shared" si="2"/>
        <v>662</v>
      </c>
      <c r="EI3" s="183">
        <f t="shared" si="2"/>
        <v>919</v>
      </c>
      <c r="EJ3" s="183">
        <f t="shared" si="2"/>
        <v>1043</v>
      </c>
      <c r="EK3" s="183">
        <f t="shared" si="2"/>
        <v>541</v>
      </c>
      <c r="EL3" s="183">
        <f t="shared" si="2"/>
        <v>541</v>
      </c>
      <c r="EM3" s="183">
        <f t="shared" si="2"/>
        <v>541</v>
      </c>
      <c r="EN3" s="183">
        <f t="shared" si="2"/>
        <v>855</v>
      </c>
      <c r="EO3" s="183">
        <f t="shared" si="2"/>
        <v>930</v>
      </c>
      <c r="EP3" s="183">
        <f t="shared" si="2"/>
        <v>808</v>
      </c>
      <c r="EQ3" s="183">
        <f t="shared" si="2"/>
        <v>966</v>
      </c>
      <c r="ER3" s="183">
        <f t="shared" si="2"/>
        <v>966</v>
      </c>
      <c r="ES3" s="183">
        <f t="shared" si="2"/>
        <v>966</v>
      </c>
      <c r="ET3" s="183">
        <f t="shared" si="2"/>
        <v>966</v>
      </c>
      <c r="EU3" s="183">
        <f t="shared" si="2"/>
        <v>979</v>
      </c>
      <c r="EV3" s="183">
        <f t="shared" si="2"/>
        <v>1544</v>
      </c>
      <c r="EW3" s="183">
        <f t="shared" si="2"/>
        <v>1569</v>
      </c>
      <c r="EX3" s="183">
        <f t="shared" si="2"/>
        <v>1733</v>
      </c>
      <c r="EY3" s="183">
        <f t="shared" si="2"/>
        <v>918</v>
      </c>
      <c r="EZ3" s="183">
        <f t="shared" si="2"/>
        <v>918</v>
      </c>
      <c r="FA3" s="183">
        <f t="shared" si="2"/>
        <v>918</v>
      </c>
      <c r="FB3" s="183">
        <f t="shared" si="2"/>
        <v>717</v>
      </c>
      <c r="FC3" s="183">
        <f t="shared" si="2"/>
        <v>1288</v>
      </c>
      <c r="FD3" s="183">
        <f t="shared" si="2"/>
        <v>1576</v>
      </c>
      <c r="FE3" s="183">
        <f t="shared" si="2"/>
        <v>1121</v>
      </c>
      <c r="FF3" s="183">
        <f t="shared" si="2"/>
        <v>1121</v>
      </c>
      <c r="FG3" s="183">
        <f t="shared" si="2"/>
        <v>1121</v>
      </c>
      <c r="FH3" s="183">
        <f t="shared" si="2"/>
        <v>1121</v>
      </c>
      <c r="FI3" s="183">
        <f t="shared" si="2"/>
        <v>954</v>
      </c>
      <c r="FJ3" s="183">
        <f t="shared" si="2"/>
        <v>1437</v>
      </c>
      <c r="FK3" s="183">
        <f t="shared" si="2"/>
        <v>1108</v>
      </c>
      <c r="FL3" s="183">
        <f t="shared" si="2"/>
        <v>418</v>
      </c>
      <c r="FM3" s="183">
        <f t="shared" si="2"/>
        <v>964</v>
      </c>
      <c r="FN3" s="183">
        <f t="shared" si="2"/>
        <v>964</v>
      </c>
      <c r="FO3" s="183">
        <f t="shared" si="2"/>
        <v>964</v>
      </c>
      <c r="FP3" s="183">
        <f t="shared" si="2"/>
        <v>964</v>
      </c>
      <c r="FQ3" s="183">
        <f t="shared" si="2"/>
        <v>964</v>
      </c>
      <c r="FR3" s="183">
        <f t="shared" si="2"/>
        <v>964</v>
      </c>
      <c r="FS3" s="183">
        <f t="shared" si="2"/>
        <v>964</v>
      </c>
      <c r="FT3" s="183">
        <f t="shared" si="2"/>
        <v>964</v>
      </c>
      <c r="FU3" s="183">
        <f t="shared" si="2"/>
        <v>964</v>
      </c>
      <c r="FV3" s="183">
        <f t="shared" si="2"/>
        <v>964</v>
      </c>
      <c r="FW3" s="183">
        <f t="shared" si="2"/>
        <v>964</v>
      </c>
      <c r="FX3" s="183">
        <f t="shared" si="2"/>
        <v>964</v>
      </c>
      <c r="FY3" s="183">
        <f t="shared" si="2"/>
        <v>964</v>
      </c>
      <c r="FZ3" s="183">
        <f t="shared" si="2"/>
        <v>964</v>
      </c>
      <c r="GA3" s="183">
        <f t="shared" si="2"/>
        <v>964</v>
      </c>
      <c r="GB3" s="183">
        <f t="shared" si="2"/>
        <v>964</v>
      </c>
      <c r="GC3" s="183">
        <f t="shared" si="2"/>
        <v>964</v>
      </c>
      <c r="GD3" s="183">
        <f t="shared" si="2"/>
        <v>964</v>
      </c>
      <c r="GE3" s="183">
        <f t="shared" si="2"/>
        <v>964</v>
      </c>
      <c r="GF3" s="183">
        <f t="shared" si="2"/>
        <v>964</v>
      </c>
      <c r="GG3" s="183">
        <f t="shared" si="2"/>
        <v>964</v>
      </c>
      <c r="GH3" s="183">
        <f t="shared" si="2"/>
        <v>964</v>
      </c>
      <c r="GI3" s="183">
        <f t="shared" si="2"/>
        <v>964</v>
      </c>
      <c r="GJ3" s="183">
        <f t="shared" si="2"/>
        <v>964</v>
      </c>
      <c r="GK3" s="183">
        <f t="shared" si="2"/>
        <v>964</v>
      </c>
      <c r="GL3" s="183">
        <f t="shared" si="2"/>
        <v>964</v>
      </c>
      <c r="GM3" s="183">
        <f t="shared" ref="GM3:IX3" si="3">+GL3+GL4-GL9-GL10-GL11</f>
        <v>964</v>
      </c>
      <c r="GN3" s="183">
        <f t="shared" si="3"/>
        <v>964</v>
      </c>
      <c r="GO3" s="183">
        <f t="shared" si="3"/>
        <v>964</v>
      </c>
      <c r="GP3" s="183">
        <f t="shared" si="3"/>
        <v>964</v>
      </c>
      <c r="GQ3" s="183">
        <f t="shared" si="3"/>
        <v>964</v>
      </c>
      <c r="GR3" s="183">
        <f t="shared" si="3"/>
        <v>964</v>
      </c>
      <c r="GS3" s="183">
        <f t="shared" si="3"/>
        <v>964</v>
      </c>
      <c r="GT3" s="183">
        <f t="shared" si="3"/>
        <v>964</v>
      </c>
      <c r="GU3" s="183">
        <f t="shared" si="3"/>
        <v>964</v>
      </c>
      <c r="GV3" s="183">
        <f t="shared" si="3"/>
        <v>964</v>
      </c>
      <c r="GW3" s="183">
        <f t="shared" si="3"/>
        <v>964</v>
      </c>
      <c r="GX3" s="183">
        <f t="shared" si="3"/>
        <v>964</v>
      </c>
      <c r="GY3" s="183">
        <f t="shared" si="3"/>
        <v>964</v>
      </c>
      <c r="GZ3" s="183">
        <f t="shared" si="3"/>
        <v>964</v>
      </c>
      <c r="HA3" s="183">
        <f t="shared" si="3"/>
        <v>964</v>
      </c>
      <c r="HB3" s="183">
        <f t="shared" si="3"/>
        <v>964</v>
      </c>
      <c r="HC3" s="183">
        <f t="shared" si="3"/>
        <v>964</v>
      </c>
      <c r="HD3" s="183">
        <f t="shared" si="3"/>
        <v>964</v>
      </c>
      <c r="HE3" s="183">
        <f t="shared" si="3"/>
        <v>964</v>
      </c>
      <c r="HF3" s="183">
        <f t="shared" si="3"/>
        <v>964</v>
      </c>
      <c r="HG3" s="183">
        <f t="shared" si="3"/>
        <v>964</v>
      </c>
      <c r="HH3" s="183">
        <f t="shared" si="3"/>
        <v>964</v>
      </c>
      <c r="HI3" s="183">
        <f t="shared" si="3"/>
        <v>964</v>
      </c>
      <c r="HJ3" s="183">
        <f t="shared" si="3"/>
        <v>964</v>
      </c>
      <c r="HK3" s="183">
        <f t="shared" si="3"/>
        <v>964</v>
      </c>
      <c r="HL3" s="183">
        <f t="shared" si="3"/>
        <v>964</v>
      </c>
      <c r="HM3" s="183">
        <f t="shared" si="3"/>
        <v>964</v>
      </c>
      <c r="HN3" s="183">
        <f t="shared" si="3"/>
        <v>964</v>
      </c>
      <c r="HO3" s="183">
        <f t="shared" si="3"/>
        <v>964</v>
      </c>
      <c r="HP3" s="183">
        <f t="shared" si="3"/>
        <v>964</v>
      </c>
      <c r="HQ3" s="183">
        <f t="shared" si="3"/>
        <v>964</v>
      </c>
      <c r="HR3" s="183">
        <f t="shared" si="3"/>
        <v>964</v>
      </c>
      <c r="HS3" s="183">
        <f t="shared" si="3"/>
        <v>964</v>
      </c>
      <c r="HT3" s="183">
        <f t="shared" si="3"/>
        <v>964</v>
      </c>
      <c r="HU3" s="183">
        <f t="shared" si="3"/>
        <v>964</v>
      </c>
      <c r="HV3" s="183">
        <f t="shared" si="3"/>
        <v>964</v>
      </c>
      <c r="HW3" s="183">
        <f t="shared" si="3"/>
        <v>964</v>
      </c>
      <c r="HX3" s="183">
        <f t="shared" si="3"/>
        <v>964</v>
      </c>
      <c r="HY3" s="183">
        <f t="shared" si="3"/>
        <v>964</v>
      </c>
      <c r="HZ3" s="183">
        <f t="shared" si="3"/>
        <v>964</v>
      </c>
      <c r="IA3" s="183">
        <f t="shared" si="3"/>
        <v>964</v>
      </c>
      <c r="IB3" s="183">
        <f t="shared" si="3"/>
        <v>964</v>
      </c>
      <c r="IC3" s="183">
        <f t="shared" si="3"/>
        <v>964</v>
      </c>
      <c r="ID3" s="183">
        <f t="shared" si="3"/>
        <v>964</v>
      </c>
      <c r="IE3" s="183">
        <f t="shared" si="3"/>
        <v>964</v>
      </c>
      <c r="IF3" s="183">
        <f t="shared" si="3"/>
        <v>964</v>
      </c>
      <c r="IG3" s="183">
        <f t="shared" si="3"/>
        <v>964</v>
      </c>
      <c r="IH3" s="183">
        <f t="shared" si="3"/>
        <v>964</v>
      </c>
      <c r="II3" s="183">
        <f t="shared" si="3"/>
        <v>964</v>
      </c>
      <c r="IJ3" s="183">
        <f t="shared" si="3"/>
        <v>964</v>
      </c>
      <c r="IK3" s="183">
        <f t="shared" si="3"/>
        <v>964</v>
      </c>
      <c r="IL3" s="183">
        <f t="shared" si="3"/>
        <v>964</v>
      </c>
      <c r="IM3" s="183">
        <f t="shared" si="3"/>
        <v>964</v>
      </c>
      <c r="IN3" s="183">
        <f t="shared" si="3"/>
        <v>964</v>
      </c>
      <c r="IO3" s="183">
        <f t="shared" si="3"/>
        <v>964</v>
      </c>
      <c r="IP3" s="183">
        <f t="shared" si="3"/>
        <v>964</v>
      </c>
      <c r="IQ3" s="183">
        <f t="shared" si="3"/>
        <v>964</v>
      </c>
      <c r="IR3" s="183">
        <f t="shared" si="3"/>
        <v>964</v>
      </c>
      <c r="IS3" s="183">
        <f t="shared" si="3"/>
        <v>964</v>
      </c>
      <c r="IT3" s="183">
        <f t="shared" si="3"/>
        <v>964</v>
      </c>
      <c r="IU3" s="183">
        <f t="shared" si="3"/>
        <v>964</v>
      </c>
      <c r="IV3" s="183">
        <f t="shared" si="3"/>
        <v>964</v>
      </c>
      <c r="IW3" s="183">
        <f t="shared" si="3"/>
        <v>964</v>
      </c>
      <c r="IX3" s="183">
        <f t="shared" si="3"/>
        <v>964</v>
      </c>
      <c r="IY3" s="183">
        <f t="shared" ref="IY3:JW3" si="4">+IX3+IX4-IX9-IX10-IX11</f>
        <v>964</v>
      </c>
      <c r="IZ3" s="183">
        <f t="shared" si="4"/>
        <v>964</v>
      </c>
      <c r="JA3" s="183">
        <f t="shared" si="4"/>
        <v>964</v>
      </c>
      <c r="JB3" s="183">
        <f t="shared" si="4"/>
        <v>964</v>
      </c>
      <c r="JC3" s="183">
        <f t="shared" si="4"/>
        <v>964</v>
      </c>
      <c r="JD3" s="183">
        <f t="shared" si="4"/>
        <v>964</v>
      </c>
      <c r="JE3" s="183">
        <f t="shared" si="4"/>
        <v>964</v>
      </c>
      <c r="JF3" s="183">
        <f t="shared" si="4"/>
        <v>964</v>
      </c>
      <c r="JG3" s="183">
        <f t="shared" si="4"/>
        <v>964</v>
      </c>
      <c r="JH3" s="183">
        <f t="shared" si="4"/>
        <v>964</v>
      </c>
      <c r="JI3" s="183">
        <f t="shared" si="4"/>
        <v>964</v>
      </c>
      <c r="JJ3" s="183">
        <f t="shared" si="4"/>
        <v>964</v>
      </c>
      <c r="JK3" s="183">
        <f t="shared" si="4"/>
        <v>964</v>
      </c>
      <c r="JL3" s="183">
        <f t="shared" si="4"/>
        <v>964</v>
      </c>
      <c r="JM3" s="183">
        <f t="shared" si="4"/>
        <v>964</v>
      </c>
      <c r="JN3" s="183">
        <f t="shared" si="4"/>
        <v>964</v>
      </c>
      <c r="JO3" s="183">
        <f t="shared" si="4"/>
        <v>964</v>
      </c>
      <c r="JP3" s="183">
        <f t="shared" si="4"/>
        <v>964</v>
      </c>
      <c r="JQ3" s="183">
        <f t="shared" si="4"/>
        <v>964</v>
      </c>
      <c r="JR3" s="183">
        <f t="shared" si="4"/>
        <v>964</v>
      </c>
      <c r="JS3" s="183">
        <f t="shared" si="4"/>
        <v>964</v>
      </c>
      <c r="JT3" s="183">
        <f t="shared" si="4"/>
        <v>964</v>
      </c>
      <c r="JU3" s="183">
        <f t="shared" si="4"/>
        <v>964</v>
      </c>
      <c r="JV3" s="183">
        <f t="shared" si="4"/>
        <v>964</v>
      </c>
      <c r="JW3" s="183">
        <f t="shared" si="4"/>
        <v>964</v>
      </c>
      <c r="JX3" s="183">
        <v>238</v>
      </c>
      <c r="JY3" s="183">
        <f t="shared" ref="JY3:LD3" si="5">+JX3+JX4-JX9-JX10-JX11+JX5</f>
        <v>238</v>
      </c>
      <c r="JZ3" s="183">
        <f t="shared" si="5"/>
        <v>238</v>
      </c>
      <c r="KA3" s="183">
        <f t="shared" si="5"/>
        <v>238</v>
      </c>
      <c r="KB3" s="183">
        <f t="shared" si="5"/>
        <v>238</v>
      </c>
      <c r="KC3" s="183">
        <f t="shared" si="5"/>
        <v>238</v>
      </c>
      <c r="KD3" s="183">
        <f t="shared" si="5"/>
        <v>238</v>
      </c>
      <c r="KE3" s="183">
        <f t="shared" si="5"/>
        <v>238</v>
      </c>
      <c r="KF3" s="183">
        <f t="shared" si="5"/>
        <v>238</v>
      </c>
      <c r="KG3" s="183">
        <f t="shared" si="5"/>
        <v>238</v>
      </c>
      <c r="KH3" s="183">
        <f t="shared" si="5"/>
        <v>238</v>
      </c>
      <c r="KI3" s="183">
        <f t="shared" si="5"/>
        <v>238</v>
      </c>
      <c r="KJ3" s="183">
        <f t="shared" si="5"/>
        <v>238</v>
      </c>
      <c r="KK3" s="183">
        <f t="shared" si="5"/>
        <v>238</v>
      </c>
      <c r="KL3" s="183">
        <f t="shared" si="5"/>
        <v>238</v>
      </c>
      <c r="KM3" s="183">
        <f t="shared" si="5"/>
        <v>238</v>
      </c>
      <c r="KN3" s="183">
        <f t="shared" si="5"/>
        <v>238</v>
      </c>
      <c r="KO3" s="183">
        <f t="shared" si="5"/>
        <v>238</v>
      </c>
      <c r="KP3" s="183">
        <f t="shared" si="5"/>
        <v>238</v>
      </c>
      <c r="KQ3" s="183">
        <f t="shared" si="5"/>
        <v>238</v>
      </c>
      <c r="KR3" s="183">
        <f t="shared" si="5"/>
        <v>238</v>
      </c>
      <c r="KS3" s="183">
        <f t="shared" si="5"/>
        <v>238</v>
      </c>
      <c r="KT3" s="183">
        <f t="shared" si="5"/>
        <v>238</v>
      </c>
      <c r="KU3" s="183">
        <f t="shared" si="5"/>
        <v>238</v>
      </c>
      <c r="KV3" s="183">
        <f t="shared" si="5"/>
        <v>238</v>
      </c>
      <c r="KW3" s="183">
        <f t="shared" si="5"/>
        <v>238</v>
      </c>
      <c r="KX3" s="183">
        <f t="shared" si="5"/>
        <v>238</v>
      </c>
      <c r="KY3" s="183">
        <f t="shared" si="5"/>
        <v>238</v>
      </c>
      <c r="KZ3" s="183">
        <f t="shared" si="5"/>
        <v>238</v>
      </c>
      <c r="LA3" s="183">
        <f t="shared" si="5"/>
        <v>238</v>
      </c>
      <c r="LB3" s="183">
        <f t="shared" si="5"/>
        <v>238</v>
      </c>
      <c r="LC3" s="183">
        <f t="shared" si="5"/>
        <v>238</v>
      </c>
      <c r="LD3" s="183">
        <f t="shared" si="5"/>
        <v>238</v>
      </c>
      <c r="LE3" s="183">
        <f t="shared" ref="LE3:MJ3" si="6">+LD3+LD4-LD9-LD10-LD11+LD5</f>
        <v>238</v>
      </c>
      <c r="LF3" s="183">
        <f t="shared" si="6"/>
        <v>238</v>
      </c>
      <c r="LG3" s="183">
        <f t="shared" si="6"/>
        <v>238</v>
      </c>
      <c r="LH3" s="183">
        <f t="shared" si="6"/>
        <v>238</v>
      </c>
      <c r="LI3" s="183">
        <f t="shared" si="6"/>
        <v>238</v>
      </c>
      <c r="LJ3" s="183">
        <f t="shared" si="6"/>
        <v>238</v>
      </c>
      <c r="LK3" s="183">
        <f t="shared" si="6"/>
        <v>238</v>
      </c>
      <c r="LL3" s="183">
        <f t="shared" si="6"/>
        <v>238</v>
      </c>
      <c r="LM3" s="183">
        <f t="shared" si="6"/>
        <v>238</v>
      </c>
      <c r="LN3" s="183">
        <f t="shared" si="6"/>
        <v>238</v>
      </c>
      <c r="LO3" s="183">
        <f t="shared" si="6"/>
        <v>238</v>
      </c>
      <c r="LP3" s="183">
        <f t="shared" si="6"/>
        <v>238</v>
      </c>
      <c r="LQ3" s="183">
        <f t="shared" si="6"/>
        <v>238</v>
      </c>
      <c r="LR3" s="183">
        <f t="shared" si="6"/>
        <v>238</v>
      </c>
      <c r="LS3" s="183">
        <f t="shared" si="6"/>
        <v>238</v>
      </c>
      <c r="LT3" s="183">
        <f t="shared" si="6"/>
        <v>238</v>
      </c>
      <c r="LU3" s="183">
        <f t="shared" si="6"/>
        <v>238</v>
      </c>
      <c r="LV3" s="183">
        <f t="shared" si="6"/>
        <v>238</v>
      </c>
      <c r="LW3" s="183">
        <f t="shared" si="6"/>
        <v>238</v>
      </c>
      <c r="LX3" s="183">
        <f t="shared" si="6"/>
        <v>238</v>
      </c>
      <c r="LY3" s="183">
        <f t="shared" si="6"/>
        <v>238</v>
      </c>
      <c r="LZ3" s="183">
        <f t="shared" si="6"/>
        <v>238</v>
      </c>
      <c r="MA3" s="183">
        <f t="shared" si="6"/>
        <v>238</v>
      </c>
      <c r="MB3" s="183">
        <f t="shared" si="6"/>
        <v>238</v>
      </c>
      <c r="MC3" s="183">
        <f t="shared" si="6"/>
        <v>238</v>
      </c>
      <c r="MD3" s="183">
        <f t="shared" si="6"/>
        <v>238</v>
      </c>
      <c r="ME3" s="183">
        <f t="shared" si="6"/>
        <v>238</v>
      </c>
      <c r="MF3" s="183">
        <f t="shared" si="6"/>
        <v>238</v>
      </c>
      <c r="MG3" s="183">
        <f t="shared" si="6"/>
        <v>238</v>
      </c>
      <c r="MH3" s="183">
        <f t="shared" si="6"/>
        <v>238</v>
      </c>
      <c r="MI3" s="183">
        <f t="shared" si="6"/>
        <v>238</v>
      </c>
      <c r="MJ3" s="183">
        <f t="shared" si="6"/>
        <v>238</v>
      </c>
      <c r="MK3" s="183">
        <f t="shared" ref="MK3:NE3" si="7">+MJ3+MJ4-MJ9-MJ10-MJ11+MJ5</f>
        <v>238</v>
      </c>
      <c r="ML3" s="183">
        <f t="shared" si="7"/>
        <v>238</v>
      </c>
      <c r="MM3" s="183">
        <f t="shared" si="7"/>
        <v>238</v>
      </c>
      <c r="MN3" s="183">
        <f t="shared" si="7"/>
        <v>238</v>
      </c>
      <c r="MO3" s="183">
        <f t="shared" si="7"/>
        <v>238</v>
      </c>
      <c r="MP3" s="183">
        <f t="shared" si="7"/>
        <v>238</v>
      </c>
      <c r="MQ3" s="183">
        <f t="shared" si="7"/>
        <v>238</v>
      </c>
      <c r="MR3" s="183">
        <f t="shared" si="7"/>
        <v>238</v>
      </c>
      <c r="MS3" s="183">
        <f t="shared" si="7"/>
        <v>238</v>
      </c>
      <c r="MT3" s="183">
        <f t="shared" si="7"/>
        <v>238</v>
      </c>
      <c r="MU3" s="183">
        <f t="shared" si="7"/>
        <v>238</v>
      </c>
      <c r="MV3" s="183">
        <f t="shared" si="7"/>
        <v>238</v>
      </c>
      <c r="MW3" s="183">
        <f t="shared" si="7"/>
        <v>238</v>
      </c>
      <c r="MX3" s="183">
        <f t="shared" si="7"/>
        <v>238</v>
      </c>
      <c r="MY3" s="183">
        <f t="shared" si="7"/>
        <v>238</v>
      </c>
      <c r="MZ3" s="183">
        <f t="shared" si="7"/>
        <v>238</v>
      </c>
      <c r="NA3" s="183">
        <f t="shared" si="7"/>
        <v>238</v>
      </c>
      <c r="NB3" s="183">
        <f t="shared" si="7"/>
        <v>238</v>
      </c>
      <c r="NC3" s="183">
        <f t="shared" si="7"/>
        <v>238</v>
      </c>
      <c r="ND3" s="183">
        <f t="shared" si="7"/>
        <v>238</v>
      </c>
      <c r="NE3" s="183">
        <f t="shared" si="7"/>
        <v>238</v>
      </c>
    </row>
    <row r="4" spans="1:1061" x14ac:dyDescent="0.2">
      <c r="A4" s="5" t="s">
        <v>2</v>
      </c>
      <c r="B4" s="204"/>
      <c r="C4" s="70">
        <v>1852</v>
      </c>
      <c r="D4" s="71">
        <v>2056</v>
      </c>
      <c r="E4" s="71">
        <v>1169</v>
      </c>
      <c r="F4" s="71"/>
      <c r="G4" s="71"/>
      <c r="H4" s="71"/>
      <c r="I4" s="71"/>
      <c r="J4" s="220">
        <v>2060</v>
      </c>
      <c r="K4" s="220">
        <v>1728</v>
      </c>
      <c r="L4" s="220">
        <v>1455</v>
      </c>
      <c r="M4" s="220">
        <v>1569</v>
      </c>
      <c r="N4" s="71"/>
      <c r="O4" s="71"/>
      <c r="P4" s="71"/>
      <c r="Q4" s="220">
        <v>2106</v>
      </c>
      <c r="R4" s="220">
        <v>2538</v>
      </c>
      <c r="S4" s="220">
        <v>1676</v>
      </c>
      <c r="T4" s="220">
        <v>985</v>
      </c>
      <c r="U4" s="220">
        <v>396</v>
      </c>
      <c r="V4" s="71"/>
      <c r="W4" s="71"/>
      <c r="X4" s="220">
        <v>1773</v>
      </c>
      <c r="Y4" s="220">
        <v>1745</v>
      </c>
      <c r="Z4" s="220">
        <v>1301</v>
      </c>
      <c r="AA4" s="220">
        <v>626</v>
      </c>
      <c r="AB4" s="220"/>
      <c r="AC4" s="71"/>
      <c r="AD4" s="71"/>
      <c r="AE4" s="220">
        <v>2736</v>
      </c>
      <c r="AF4" s="220">
        <v>1459</v>
      </c>
      <c r="AG4" s="220">
        <v>618</v>
      </c>
      <c r="AH4" s="220">
        <v>262</v>
      </c>
      <c r="AI4" s="71"/>
      <c r="AJ4" s="71"/>
      <c r="AK4" s="71"/>
      <c r="AL4" s="220">
        <v>2533</v>
      </c>
      <c r="AM4" s="220">
        <v>1035</v>
      </c>
      <c r="AN4" s="220">
        <v>1518</v>
      </c>
      <c r="AO4" s="220">
        <v>592</v>
      </c>
      <c r="AP4" s="71"/>
      <c r="AQ4" s="71"/>
      <c r="AR4" s="71"/>
      <c r="AS4" s="220">
        <v>2117</v>
      </c>
      <c r="AT4" s="220">
        <v>1227</v>
      </c>
      <c r="AU4" s="220">
        <v>624</v>
      </c>
      <c r="AV4" s="220">
        <v>264</v>
      </c>
      <c r="AW4" s="220"/>
      <c r="AX4" s="71"/>
      <c r="AY4" s="71"/>
      <c r="AZ4" s="220">
        <v>1659</v>
      </c>
      <c r="BA4" s="220">
        <v>741</v>
      </c>
      <c r="BB4" s="71"/>
      <c r="BC4" s="220">
        <v>1389</v>
      </c>
      <c r="BD4" s="71"/>
      <c r="BE4" s="71"/>
      <c r="BF4" s="71"/>
      <c r="BG4" s="220">
        <v>2936</v>
      </c>
      <c r="BH4" s="220">
        <v>1480</v>
      </c>
      <c r="BI4" s="71"/>
      <c r="BJ4" s="220">
        <v>320</v>
      </c>
      <c r="BK4" s="220">
        <v>332</v>
      </c>
      <c r="BL4" s="71"/>
      <c r="BM4" s="71"/>
      <c r="BN4" s="220">
        <v>2337</v>
      </c>
      <c r="BO4" s="220">
        <v>1664</v>
      </c>
      <c r="BP4" s="220">
        <v>632</v>
      </c>
      <c r="BQ4" s="237">
        <v>399</v>
      </c>
      <c r="BR4" s="71"/>
      <c r="BS4" s="71"/>
      <c r="BT4" s="71"/>
      <c r="BU4" s="71">
        <v>1812</v>
      </c>
      <c r="BV4" s="71">
        <v>1227</v>
      </c>
      <c r="BW4" s="71">
        <v>183</v>
      </c>
      <c r="BX4" s="71">
        <v>315</v>
      </c>
      <c r="BY4" s="71"/>
      <c r="BZ4" s="71"/>
      <c r="CA4" s="71"/>
      <c r="CB4" s="71">
        <v>2158</v>
      </c>
      <c r="CC4" s="71">
        <v>1009</v>
      </c>
      <c r="CD4" s="71">
        <v>767</v>
      </c>
      <c r="CE4" s="71">
        <v>337</v>
      </c>
      <c r="CF4" s="71">
        <v>18</v>
      </c>
      <c r="CG4" s="71"/>
      <c r="CH4" s="71"/>
      <c r="CI4" s="71">
        <v>1978</v>
      </c>
      <c r="CJ4" s="71">
        <v>1115</v>
      </c>
      <c r="CK4" s="71">
        <v>368</v>
      </c>
      <c r="CL4" s="71">
        <v>252</v>
      </c>
      <c r="CM4" s="71"/>
      <c r="CN4" s="71"/>
      <c r="CO4" s="71"/>
      <c r="CP4" s="71">
        <v>1627</v>
      </c>
      <c r="CQ4" s="71">
        <v>833</v>
      </c>
      <c r="CR4" s="71">
        <v>837</v>
      </c>
      <c r="CS4" s="71"/>
      <c r="CT4" s="71"/>
      <c r="CU4" s="71"/>
      <c r="CV4" s="71"/>
      <c r="CW4" s="71">
        <v>2038</v>
      </c>
      <c r="CX4" s="71">
        <v>620</v>
      </c>
      <c r="CY4" s="71">
        <v>232</v>
      </c>
      <c r="CZ4" s="71">
        <v>198</v>
      </c>
      <c r="DA4" s="71"/>
      <c r="DB4" s="71"/>
      <c r="DC4" s="71"/>
      <c r="DD4" s="71">
        <v>1275</v>
      </c>
      <c r="DE4" s="71">
        <v>509</v>
      </c>
      <c r="DF4" s="71">
        <v>137</v>
      </c>
      <c r="DG4" s="71">
        <v>322</v>
      </c>
      <c r="DH4" s="71"/>
      <c r="DI4" s="71"/>
      <c r="DJ4" s="71"/>
      <c r="DK4" s="71">
        <v>877</v>
      </c>
      <c r="DL4" s="71">
        <v>228</v>
      </c>
      <c r="DM4" s="71">
        <v>218</v>
      </c>
      <c r="DN4" s="71"/>
      <c r="DO4" s="71"/>
      <c r="DP4" s="71"/>
      <c r="DQ4" s="71"/>
      <c r="DR4" s="71">
        <v>460</v>
      </c>
      <c r="DS4" s="71">
        <v>189</v>
      </c>
      <c r="DT4" s="71"/>
      <c r="DU4" s="71"/>
      <c r="DV4" s="71"/>
      <c r="DW4" s="71"/>
      <c r="DX4" s="71"/>
      <c r="DY4" s="71">
        <v>673</v>
      </c>
      <c r="DZ4" s="71"/>
      <c r="EA4" s="71">
        <v>275</v>
      </c>
      <c r="EB4" s="71">
        <v>179</v>
      </c>
      <c r="EC4" s="71"/>
      <c r="ED4" s="71"/>
      <c r="EE4" s="71"/>
      <c r="EF4" s="71">
        <v>495</v>
      </c>
      <c r="EG4" s="71">
        <v>303</v>
      </c>
      <c r="EH4" s="71">
        <v>257</v>
      </c>
      <c r="EI4" s="71">
        <v>124</v>
      </c>
      <c r="EJ4" s="71">
        <v>24</v>
      </c>
      <c r="EK4" s="71"/>
      <c r="EL4" s="71"/>
      <c r="EM4" s="71">
        <v>797</v>
      </c>
      <c r="EN4" s="71">
        <v>75</v>
      </c>
      <c r="EO4" s="71">
        <v>457</v>
      </c>
      <c r="EP4" s="71">
        <v>158</v>
      </c>
      <c r="EQ4" s="71"/>
      <c r="ER4" s="71"/>
      <c r="ES4" s="71"/>
      <c r="ET4" s="71">
        <v>779</v>
      </c>
      <c r="EU4" s="71">
        <v>565</v>
      </c>
      <c r="EV4" s="71">
        <v>528</v>
      </c>
      <c r="EW4" s="71">
        <v>164</v>
      </c>
      <c r="EX4" s="71"/>
      <c r="EY4" s="71"/>
      <c r="EZ4" s="71"/>
      <c r="FA4" s="71">
        <v>631</v>
      </c>
      <c r="FB4" s="71">
        <v>571</v>
      </c>
      <c r="FC4" s="71">
        <v>1222</v>
      </c>
      <c r="FD4" s="71">
        <v>394</v>
      </c>
      <c r="FE4" s="71"/>
      <c r="FF4" s="71"/>
      <c r="FG4" s="71"/>
      <c r="FH4" s="71">
        <v>854</v>
      </c>
      <c r="FI4" s="240">
        <v>937</v>
      </c>
      <c r="FJ4" s="71">
        <v>830</v>
      </c>
      <c r="FK4" s="71">
        <v>161</v>
      </c>
      <c r="FL4" s="220">
        <v>546</v>
      </c>
      <c r="FM4" s="71"/>
      <c r="FN4" s="71"/>
      <c r="FO4" s="71"/>
      <c r="FP4" s="71"/>
      <c r="FQ4" s="71"/>
      <c r="FR4" s="71"/>
      <c r="FS4" s="71"/>
      <c r="FT4" s="71"/>
      <c r="FU4" s="71"/>
      <c r="FV4" s="71"/>
      <c r="FW4" s="71"/>
      <c r="FX4" s="71"/>
      <c r="FY4" s="71"/>
      <c r="FZ4" s="71"/>
      <c r="GA4" s="71"/>
      <c r="GB4" s="71"/>
      <c r="GC4" s="71"/>
      <c r="GD4" s="71"/>
      <c r="GE4" s="71"/>
      <c r="GF4" s="71"/>
      <c r="GG4" s="71"/>
      <c r="GH4" s="71"/>
      <c r="GI4" s="71"/>
      <c r="GJ4" s="71"/>
      <c r="GK4" s="71"/>
      <c r="GL4" s="71"/>
      <c r="GM4" s="71"/>
      <c r="GN4" s="71"/>
      <c r="GO4" s="71"/>
      <c r="GP4" s="71"/>
      <c r="GQ4" s="71"/>
      <c r="GR4" s="71"/>
      <c r="GS4" s="71"/>
      <c r="GT4" s="71"/>
      <c r="GU4" s="71"/>
      <c r="GV4" s="71"/>
      <c r="GW4" s="71"/>
      <c r="GX4" s="71"/>
      <c r="GY4" s="71"/>
      <c r="GZ4" s="71"/>
      <c r="HA4" s="71"/>
      <c r="HB4" s="71"/>
      <c r="HC4" s="71"/>
      <c r="HD4" s="71"/>
      <c r="HE4" s="71"/>
      <c r="HF4" s="71"/>
      <c r="HG4" s="71"/>
      <c r="HH4" s="71"/>
      <c r="HI4" s="71"/>
      <c r="HJ4" s="71"/>
      <c r="HK4" s="71"/>
      <c r="HL4" s="71"/>
      <c r="HM4" s="71"/>
      <c r="HN4" s="71"/>
      <c r="HO4" s="71"/>
      <c r="HP4" s="71"/>
      <c r="HQ4" s="71"/>
      <c r="HR4" s="71"/>
      <c r="HS4" s="71"/>
      <c r="HT4" s="71"/>
      <c r="HU4" s="71"/>
      <c r="HV4" s="71"/>
      <c r="HW4" s="71"/>
      <c r="HX4" s="71"/>
      <c r="HY4" s="71"/>
      <c r="HZ4" s="71"/>
      <c r="IA4" s="71"/>
      <c r="IB4" s="71"/>
      <c r="IC4" s="71"/>
      <c r="ID4" s="71"/>
      <c r="IE4" s="71"/>
      <c r="IF4" s="71"/>
      <c r="IG4" s="71"/>
      <c r="IH4" s="71"/>
      <c r="II4" s="71"/>
      <c r="IJ4" s="71"/>
      <c r="IK4" s="71"/>
      <c r="IL4" s="71"/>
      <c r="IM4" s="71"/>
      <c r="IN4" s="71"/>
      <c r="IO4" s="71"/>
      <c r="IP4" s="71"/>
      <c r="IQ4" s="71"/>
      <c r="IR4" s="71"/>
      <c r="IS4" s="71"/>
      <c r="IT4" s="71"/>
      <c r="IU4" s="71"/>
      <c r="IV4" s="71"/>
      <c r="IW4" s="71"/>
      <c r="IX4" s="71"/>
      <c r="IY4" s="71"/>
      <c r="IZ4" s="71"/>
      <c r="JA4" s="71"/>
      <c r="JB4" s="71"/>
      <c r="JC4" s="71"/>
      <c r="JD4" s="71"/>
      <c r="JE4" s="71"/>
      <c r="JF4" s="71"/>
      <c r="JG4" s="71"/>
      <c r="JH4" s="71"/>
      <c r="JI4" s="71"/>
      <c r="JJ4" s="71"/>
      <c r="JK4" s="71"/>
      <c r="JL4" s="71"/>
      <c r="JM4" s="71"/>
      <c r="JN4" s="71"/>
      <c r="JO4" s="71"/>
      <c r="JP4" s="71"/>
      <c r="JQ4" s="71"/>
      <c r="JR4" s="71"/>
      <c r="JS4" s="71"/>
      <c r="JT4" s="71"/>
      <c r="JU4" s="71"/>
      <c r="JV4" s="71"/>
      <c r="JW4" s="71"/>
      <c r="JX4" s="71"/>
      <c r="JY4" s="71"/>
      <c r="JZ4" s="71"/>
      <c r="KA4" s="71"/>
      <c r="KB4" s="71"/>
      <c r="KC4" s="71"/>
      <c r="KD4" s="71"/>
      <c r="KE4" s="71"/>
      <c r="KF4" s="71"/>
      <c r="KG4" s="71"/>
      <c r="KH4" s="71"/>
      <c r="KI4" s="71"/>
      <c r="KJ4" s="71"/>
      <c r="KK4" s="71"/>
      <c r="KL4" s="71"/>
      <c r="KM4" s="71"/>
      <c r="KN4" s="71"/>
      <c r="KO4" s="71"/>
      <c r="KP4" s="71"/>
      <c r="KQ4" s="71"/>
      <c r="KR4" s="71"/>
      <c r="KS4" s="71"/>
      <c r="KT4" s="71"/>
      <c r="KU4" s="71"/>
      <c r="KV4" s="71"/>
      <c r="KW4" s="71"/>
      <c r="KX4" s="71"/>
      <c r="KY4" s="71"/>
      <c r="KZ4" s="191"/>
      <c r="LA4" s="71"/>
      <c r="LB4" s="71"/>
      <c r="LC4" s="71"/>
      <c r="LD4" s="71"/>
      <c r="LE4" s="71"/>
      <c r="LF4" s="191"/>
      <c r="LG4" s="71"/>
      <c r="LH4" s="71"/>
      <c r="LI4" s="71"/>
      <c r="LJ4" s="71"/>
      <c r="LK4" s="71"/>
      <c r="LL4" s="71"/>
      <c r="LM4" s="71"/>
      <c r="LN4" s="71"/>
      <c r="LO4" s="71"/>
      <c r="LP4" s="71"/>
      <c r="LQ4" s="71"/>
      <c r="LR4" s="71"/>
      <c r="LS4" s="71"/>
      <c r="LT4" s="71"/>
      <c r="LU4" s="71"/>
      <c r="LV4" s="71"/>
      <c r="LW4" s="71"/>
      <c r="LX4" s="71"/>
      <c r="LY4" s="71"/>
      <c r="LZ4" s="71"/>
      <c r="MA4" s="71"/>
      <c r="MB4" s="71"/>
      <c r="MC4" s="71"/>
      <c r="MD4" s="71"/>
      <c r="ME4" s="71"/>
      <c r="MF4" s="71"/>
      <c r="MG4" s="71"/>
      <c r="MH4" s="71"/>
      <c r="MI4" s="71"/>
      <c r="MJ4" s="71"/>
      <c r="MK4" s="71"/>
      <c r="ML4" s="71"/>
      <c r="MM4" s="71"/>
      <c r="MN4" s="71"/>
      <c r="MO4" s="71"/>
      <c r="MP4" s="71"/>
      <c r="MQ4" s="71"/>
      <c r="MR4" s="71"/>
      <c r="MS4" s="71"/>
      <c r="MT4" s="71"/>
      <c r="MU4" s="71"/>
      <c r="MV4" s="71"/>
      <c r="MW4" s="71"/>
      <c r="MX4" s="71"/>
      <c r="MY4" s="71"/>
      <c r="MZ4" s="71"/>
      <c r="NA4" s="71"/>
      <c r="NB4" s="71"/>
      <c r="NC4" s="71"/>
      <c r="ND4" s="71"/>
      <c r="NE4" s="71"/>
    </row>
    <row r="5" spans="1:1061" x14ac:dyDescent="0.2">
      <c r="A5" s="5" t="s">
        <v>164</v>
      </c>
      <c r="B5" s="204"/>
      <c r="C5" s="70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240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  <c r="ED5" s="71"/>
      <c r="EE5" s="71"/>
      <c r="EF5" s="71"/>
      <c r="EG5" s="71"/>
      <c r="EH5" s="71"/>
      <c r="EI5" s="71"/>
      <c r="EJ5" s="71"/>
      <c r="EK5" s="71"/>
      <c r="EL5" s="71"/>
      <c r="EM5" s="71"/>
      <c r="EN5" s="71"/>
      <c r="EO5" s="71"/>
      <c r="EP5" s="71"/>
      <c r="EQ5" s="71"/>
      <c r="ER5" s="71"/>
      <c r="ES5" s="71"/>
      <c r="ET5" s="71"/>
      <c r="EU5" s="71"/>
      <c r="EV5" s="71"/>
      <c r="EW5" s="71"/>
      <c r="EX5" s="71"/>
      <c r="EY5" s="71"/>
      <c r="EZ5" s="71"/>
      <c r="FA5" s="71"/>
      <c r="FB5" s="71"/>
      <c r="FC5" s="71"/>
      <c r="FD5" s="71"/>
      <c r="FE5" s="71"/>
      <c r="FF5" s="71"/>
      <c r="FG5" s="71"/>
      <c r="FH5" s="220" t="s">
        <v>179</v>
      </c>
      <c r="FI5" s="240"/>
      <c r="FJ5" s="71"/>
      <c r="FK5" s="71"/>
      <c r="FL5" s="71"/>
      <c r="FM5" s="71"/>
      <c r="FN5" s="71"/>
      <c r="FO5" s="71"/>
      <c r="FP5" s="71"/>
      <c r="FQ5" s="71"/>
      <c r="FR5" s="71"/>
      <c r="FS5" s="71"/>
      <c r="FT5" s="71"/>
      <c r="FU5" s="71"/>
      <c r="FV5" s="71"/>
      <c r="FW5" s="71"/>
      <c r="FX5" s="71"/>
      <c r="FY5" s="71"/>
      <c r="FZ5" s="71"/>
      <c r="GA5" s="71"/>
      <c r="GB5" s="71"/>
      <c r="GC5" s="71"/>
      <c r="GD5" s="71"/>
      <c r="GE5" s="71"/>
      <c r="GF5" s="71"/>
      <c r="GG5" s="71"/>
      <c r="GH5" s="71"/>
      <c r="GI5" s="71"/>
      <c r="GJ5" s="71"/>
      <c r="GK5" s="71"/>
      <c r="GL5" s="71"/>
      <c r="GM5" s="71"/>
      <c r="GN5" s="71"/>
      <c r="GO5" s="71"/>
      <c r="GP5" s="71"/>
      <c r="GQ5" s="71"/>
      <c r="GR5" s="71"/>
      <c r="GS5" s="71"/>
      <c r="GT5" s="71"/>
      <c r="GU5" s="71"/>
      <c r="GV5" s="71"/>
      <c r="GW5" s="71"/>
      <c r="GX5" s="71"/>
      <c r="GY5" s="71"/>
      <c r="GZ5" s="71"/>
      <c r="HA5" s="71"/>
      <c r="HB5" s="71"/>
      <c r="HC5" s="71"/>
      <c r="HD5" s="71"/>
      <c r="HE5" s="71"/>
      <c r="HF5" s="71"/>
      <c r="HG5" s="71"/>
      <c r="HH5" s="71"/>
      <c r="HI5" s="71"/>
      <c r="HJ5" s="71"/>
      <c r="HK5" s="71"/>
      <c r="HL5" s="71"/>
      <c r="HM5" s="71"/>
      <c r="HN5" s="71"/>
      <c r="HO5" s="71"/>
      <c r="HP5" s="71"/>
      <c r="HQ5" s="71"/>
      <c r="HR5" s="71"/>
      <c r="HS5" s="71"/>
      <c r="HT5" s="71"/>
      <c r="HU5" s="71"/>
      <c r="HV5" s="71"/>
      <c r="HW5" s="71"/>
      <c r="HX5" s="71"/>
      <c r="HY5" s="71"/>
      <c r="HZ5" s="71"/>
      <c r="IA5" s="71"/>
      <c r="IB5" s="71"/>
      <c r="IC5" s="71"/>
      <c r="ID5" s="71"/>
      <c r="IE5" s="71"/>
      <c r="IF5" s="71"/>
      <c r="IG5" s="71"/>
      <c r="IH5" s="71"/>
      <c r="II5" s="71"/>
      <c r="IJ5" s="71"/>
      <c r="IK5" s="71"/>
      <c r="IL5" s="71"/>
      <c r="IM5" s="71"/>
      <c r="IN5" s="71"/>
      <c r="IO5" s="71"/>
      <c r="IP5" s="71"/>
      <c r="IQ5" s="71"/>
      <c r="IR5" s="71"/>
      <c r="IS5" s="71"/>
      <c r="IT5" s="71"/>
      <c r="IU5" s="71"/>
      <c r="IV5" s="71"/>
      <c r="IW5" s="71"/>
      <c r="IX5" s="71"/>
      <c r="IY5" s="71"/>
      <c r="IZ5" s="71"/>
      <c r="JA5" s="71"/>
      <c r="JB5" s="71"/>
      <c r="JC5" s="71"/>
      <c r="JD5" s="71"/>
      <c r="JE5" s="71"/>
      <c r="JF5" s="71"/>
      <c r="JG5" s="71"/>
      <c r="JH5" s="71"/>
      <c r="JI5" s="71"/>
      <c r="JJ5" s="71"/>
      <c r="JK5" s="71"/>
      <c r="JL5" s="71"/>
      <c r="JM5" s="71"/>
      <c r="JN5" s="71"/>
      <c r="JO5" s="71"/>
      <c r="JP5" s="71"/>
      <c r="JQ5" s="71"/>
      <c r="JR5" s="71"/>
      <c r="JS5" s="71"/>
      <c r="JT5" s="71"/>
      <c r="JU5" s="71"/>
      <c r="JV5" s="71"/>
      <c r="JW5" s="71"/>
      <c r="JX5" s="71"/>
      <c r="JY5" s="71"/>
      <c r="JZ5" s="71"/>
      <c r="KA5" s="71"/>
      <c r="KB5" s="71"/>
      <c r="KC5" s="71"/>
      <c r="KD5" s="71"/>
      <c r="KE5" s="71"/>
      <c r="KF5" s="71"/>
      <c r="KG5" s="71"/>
      <c r="KH5" s="71"/>
      <c r="KI5" s="71"/>
      <c r="KJ5" s="71"/>
      <c r="KK5" s="71"/>
      <c r="KL5" s="76"/>
      <c r="KM5" s="71"/>
      <c r="KN5" s="71"/>
      <c r="KO5" s="71"/>
      <c r="KP5" s="71"/>
      <c r="KQ5" s="71"/>
      <c r="KR5" s="71"/>
      <c r="KS5" s="71"/>
      <c r="KT5" s="71"/>
      <c r="KU5" s="71"/>
      <c r="KV5" s="71"/>
      <c r="KW5" s="71"/>
      <c r="KX5" s="71"/>
      <c r="KY5" s="71"/>
      <c r="KZ5" s="71"/>
      <c r="LA5" s="71"/>
      <c r="LB5" s="71"/>
      <c r="LC5" s="71"/>
      <c r="LD5" s="71"/>
      <c r="LE5" s="71"/>
      <c r="LF5" s="71"/>
      <c r="LG5" s="71"/>
      <c r="LH5" s="71"/>
      <c r="LI5" s="71"/>
      <c r="LJ5" s="71"/>
      <c r="LK5" s="71"/>
      <c r="LL5" s="71"/>
      <c r="LM5" s="71"/>
      <c r="LN5" s="71"/>
      <c r="LO5" s="71"/>
      <c r="LP5" s="71"/>
      <c r="LQ5" s="71"/>
      <c r="LR5" s="71"/>
      <c r="LS5" s="71"/>
      <c r="LT5" s="71"/>
      <c r="LU5" s="71"/>
      <c r="LV5" s="71"/>
      <c r="LW5" s="71"/>
      <c r="LX5" s="71"/>
      <c r="LY5" s="71"/>
      <c r="LZ5" s="71"/>
      <c r="MA5" s="71"/>
      <c r="MB5" s="71"/>
      <c r="MC5" s="71"/>
      <c r="MD5" s="71"/>
      <c r="ME5" s="71"/>
      <c r="MF5" s="71"/>
      <c r="MG5" s="71"/>
      <c r="MH5" s="71"/>
      <c r="MI5" s="71"/>
      <c r="MJ5" s="71"/>
      <c r="MK5" s="71"/>
      <c r="ML5" s="71"/>
      <c r="MM5" s="71"/>
      <c r="MN5" s="71"/>
      <c r="MO5" s="71"/>
      <c r="MP5" s="71"/>
      <c r="MQ5" s="71"/>
      <c r="MR5" s="71"/>
      <c r="MS5" s="71"/>
      <c r="MT5" s="71"/>
      <c r="MU5" s="71"/>
      <c r="MV5" s="71"/>
      <c r="MW5" s="71"/>
      <c r="MX5" s="71"/>
      <c r="MY5" s="71"/>
      <c r="MZ5" s="71"/>
      <c r="NA5" s="71"/>
      <c r="NB5" s="71"/>
      <c r="NC5" s="71"/>
      <c r="ND5" s="71"/>
      <c r="NE5" s="71"/>
    </row>
    <row r="6" spans="1:1061" hidden="1" x14ac:dyDescent="0.2">
      <c r="A6" s="192" t="s">
        <v>0</v>
      </c>
      <c r="B6" s="205" t="s">
        <v>162</v>
      </c>
      <c r="C6" s="193">
        <v>46020</v>
      </c>
      <c r="D6" s="193">
        <v>46021</v>
      </c>
      <c r="E6" s="193">
        <v>46022</v>
      </c>
      <c r="F6" s="193">
        <v>46023</v>
      </c>
      <c r="G6" s="193">
        <v>46024</v>
      </c>
      <c r="H6" s="193">
        <v>46025</v>
      </c>
      <c r="I6" s="193">
        <v>46026</v>
      </c>
      <c r="J6" s="193">
        <v>46027</v>
      </c>
      <c r="K6" s="193">
        <v>46028</v>
      </c>
      <c r="L6" s="193">
        <v>46029</v>
      </c>
      <c r="M6" s="193">
        <v>46030</v>
      </c>
      <c r="N6" s="193">
        <v>46031</v>
      </c>
      <c r="O6" s="193">
        <v>46032</v>
      </c>
      <c r="P6" s="193">
        <v>46033</v>
      </c>
      <c r="Q6" s="193">
        <v>46034</v>
      </c>
      <c r="R6" s="193">
        <v>46035</v>
      </c>
      <c r="S6" s="193">
        <v>46036</v>
      </c>
      <c r="T6" s="193">
        <v>46037</v>
      </c>
      <c r="U6" s="193">
        <v>46038</v>
      </c>
      <c r="V6" s="193">
        <v>46039</v>
      </c>
      <c r="W6" s="193">
        <v>46040</v>
      </c>
      <c r="X6" s="193">
        <v>46041</v>
      </c>
      <c r="Y6" s="193">
        <v>46042</v>
      </c>
      <c r="Z6" s="193">
        <v>46043</v>
      </c>
      <c r="AA6" s="193">
        <v>46044</v>
      </c>
      <c r="AB6" s="193">
        <v>46045</v>
      </c>
      <c r="AC6" s="193">
        <v>46046</v>
      </c>
      <c r="AD6" s="193">
        <v>46047</v>
      </c>
      <c r="AE6" s="193">
        <v>46048</v>
      </c>
      <c r="AF6" s="193">
        <v>46049</v>
      </c>
      <c r="AG6" s="193">
        <v>46050</v>
      </c>
      <c r="AH6" s="193">
        <v>46051</v>
      </c>
      <c r="AI6" s="193">
        <v>46052</v>
      </c>
      <c r="AJ6" s="193">
        <v>46053</v>
      </c>
      <c r="AK6" s="193">
        <v>46054</v>
      </c>
      <c r="AL6" s="193">
        <v>46055</v>
      </c>
      <c r="AM6" s="193">
        <v>46056</v>
      </c>
      <c r="AN6" s="193">
        <v>46057</v>
      </c>
      <c r="AO6" s="193">
        <v>46058</v>
      </c>
      <c r="AP6" s="193">
        <v>46059</v>
      </c>
      <c r="AQ6" s="193">
        <v>46060</v>
      </c>
      <c r="AR6" s="193">
        <v>46061</v>
      </c>
      <c r="AS6" s="193">
        <v>46062</v>
      </c>
      <c r="AT6" s="193">
        <v>46063</v>
      </c>
      <c r="AU6" s="193">
        <v>46064</v>
      </c>
      <c r="AV6" s="193">
        <v>46065</v>
      </c>
      <c r="AW6" s="193">
        <v>46066</v>
      </c>
      <c r="AX6" s="193">
        <v>46067</v>
      </c>
      <c r="AY6" s="193">
        <v>46068</v>
      </c>
      <c r="AZ6" s="193">
        <v>46069</v>
      </c>
      <c r="BA6" s="193">
        <v>46070</v>
      </c>
      <c r="BB6" s="193">
        <v>46071</v>
      </c>
      <c r="BC6" s="193">
        <v>46072</v>
      </c>
      <c r="BD6" s="193">
        <v>46073</v>
      </c>
      <c r="BE6" s="193">
        <v>46074</v>
      </c>
      <c r="BF6" s="193">
        <v>46075</v>
      </c>
      <c r="BG6" s="193">
        <v>46076</v>
      </c>
      <c r="BH6" s="193">
        <v>46077</v>
      </c>
      <c r="BI6" s="193">
        <v>46078</v>
      </c>
      <c r="BJ6" s="193">
        <v>46079</v>
      </c>
      <c r="BK6" s="193">
        <v>46080</v>
      </c>
      <c r="BL6" s="193">
        <v>46081</v>
      </c>
      <c r="BM6" s="193">
        <v>46082</v>
      </c>
      <c r="BN6" s="193">
        <v>46083</v>
      </c>
      <c r="BO6" s="193">
        <v>46084</v>
      </c>
      <c r="BP6" s="193">
        <v>46085</v>
      </c>
      <c r="BQ6" s="193">
        <v>46086</v>
      </c>
      <c r="BR6" s="193">
        <v>46087</v>
      </c>
      <c r="BS6" s="193">
        <v>46088</v>
      </c>
      <c r="BT6" s="193">
        <v>46089</v>
      </c>
      <c r="BU6" s="193">
        <v>46090</v>
      </c>
      <c r="BV6" s="193">
        <v>46091</v>
      </c>
      <c r="BW6" s="193">
        <v>46092</v>
      </c>
      <c r="BX6" s="193">
        <v>46093</v>
      </c>
      <c r="BY6" s="193">
        <v>46094</v>
      </c>
      <c r="BZ6" s="193">
        <v>46095</v>
      </c>
      <c r="CA6" s="193">
        <v>46096</v>
      </c>
      <c r="CB6" s="193">
        <v>46097</v>
      </c>
      <c r="CC6" s="193">
        <v>46098</v>
      </c>
      <c r="CD6" s="193">
        <v>46099</v>
      </c>
      <c r="CE6" s="193">
        <v>46100</v>
      </c>
      <c r="CF6" s="193">
        <v>46101</v>
      </c>
      <c r="CG6" s="193">
        <v>46102</v>
      </c>
      <c r="CH6" s="193">
        <v>46103</v>
      </c>
      <c r="CI6" s="193">
        <v>46104</v>
      </c>
      <c r="CJ6" s="193">
        <v>46105</v>
      </c>
      <c r="CK6" s="193">
        <v>46106</v>
      </c>
      <c r="CL6" s="193">
        <v>46107</v>
      </c>
      <c r="CM6" s="193">
        <v>46108</v>
      </c>
      <c r="CN6" s="193">
        <v>46109</v>
      </c>
      <c r="CO6" s="193">
        <v>46110</v>
      </c>
      <c r="CP6" s="193">
        <v>46111</v>
      </c>
      <c r="CQ6" s="193">
        <v>46112</v>
      </c>
      <c r="CR6" s="193">
        <v>46113</v>
      </c>
      <c r="CS6" s="193">
        <v>46114</v>
      </c>
      <c r="CT6" s="193">
        <v>46115</v>
      </c>
      <c r="CU6" s="193">
        <v>46116</v>
      </c>
      <c r="CV6" s="193">
        <v>46117</v>
      </c>
      <c r="CW6" s="193">
        <v>46118</v>
      </c>
      <c r="CX6" s="193">
        <v>46119</v>
      </c>
      <c r="CY6" s="193">
        <v>46120</v>
      </c>
      <c r="CZ6" s="193">
        <v>46121</v>
      </c>
      <c r="DA6" s="193">
        <v>46122</v>
      </c>
      <c r="DB6" s="193">
        <v>46123</v>
      </c>
      <c r="DC6" s="193">
        <v>46124</v>
      </c>
      <c r="DD6" s="193">
        <v>46125</v>
      </c>
      <c r="DE6" s="193">
        <v>46126</v>
      </c>
      <c r="DF6" s="193">
        <v>46127</v>
      </c>
      <c r="DG6" s="193">
        <v>46128</v>
      </c>
      <c r="DH6" s="193">
        <v>46129</v>
      </c>
      <c r="DI6" s="193">
        <v>46130</v>
      </c>
      <c r="DJ6" s="193">
        <v>46131</v>
      </c>
      <c r="DK6" s="193">
        <v>46132</v>
      </c>
      <c r="DL6" s="193">
        <v>46133</v>
      </c>
      <c r="DM6" s="193">
        <v>46134</v>
      </c>
      <c r="DN6" s="193">
        <v>46135</v>
      </c>
      <c r="DO6" s="193">
        <v>46136</v>
      </c>
      <c r="DP6" s="193">
        <v>46137</v>
      </c>
      <c r="DQ6" s="193">
        <v>46138</v>
      </c>
      <c r="DR6" s="193">
        <v>46139</v>
      </c>
      <c r="DS6" s="193">
        <v>46140</v>
      </c>
      <c r="DT6" s="193">
        <v>46141</v>
      </c>
      <c r="DU6" s="193">
        <v>46142</v>
      </c>
      <c r="DV6" s="193">
        <v>46143</v>
      </c>
      <c r="DW6" s="193">
        <v>46144</v>
      </c>
      <c r="DX6" s="193">
        <v>46145</v>
      </c>
      <c r="DY6" s="193">
        <v>46146</v>
      </c>
      <c r="DZ6" s="193">
        <v>46147</v>
      </c>
      <c r="EA6" s="193">
        <v>46148</v>
      </c>
      <c r="EB6" s="193">
        <v>46149</v>
      </c>
      <c r="EC6" s="193">
        <v>46150</v>
      </c>
      <c r="ED6" s="193">
        <v>46151</v>
      </c>
      <c r="EE6" s="193">
        <v>46152</v>
      </c>
      <c r="EF6" s="193">
        <v>46153</v>
      </c>
      <c r="EG6" s="193">
        <v>46154</v>
      </c>
      <c r="EH6" s="193">
        <v>46155</v>
      </c>
      <c r="EI6" s="193">
        <v>46156</v>
      </c>
      <c r="EJ6" s="193">
        <v>46157</v>
      </c>
      <c r="EK6" s="193">
        <v>46158</v>
      </c>
      <c r="EL6" s="193">
        <v>46159</v>
      </c>
      <c r="EM6" s="193">
        <v>46160</v>
      </c>
      <c r="EN6" s="193">
        <v>46161</v>
      </c>
      <c r="EO6" s="193">
        <v>46162</v>
      </c>
      <c r="EP6" s="193">
        <v>46163</v>
      </c>
      <c r="EQ6" s="193">
        <v>46164</v>
      </c>
      <c r="ER6" s="193">
        <v>46165</v>
      </c>
      <c r="ES6" s="193">
        <v>46166</v>
      </c>
      <c r="ET6" s="193">
        <v>46167</v>
      </c>
      <c r="EU6" s="193">
        <v>46168</v>
      </c>
      <c r="EV6" s="193">
        <v>46169</v>
      </c>
      <c r="EW6" s="193">
        <v>46170</v>
      </c>
      <c r="EX6" s="193">
        <v>46171</v>
      </c>
      <c r="EY6" s="193">
        <v>46172</v>
      </c>
      <c r="EZ6" s="193">
        <v>46173</v>
      </c>
      <c r="FA6" s="193">
        <v>46174</v>
      </c>
      <c r="FB6" s="193">
        <v>46175</v>
      </c>
      <c r="FC6" s="193">
        <v>46176</v>
      </c>
      <c r="FD6" s="193">
        <v>46177</v>
      </c>
      <c r="FE6" s="193">
        <v>46178</v>
      </c>
      <c r="FF6" s="193">
        <v>46179</v>
      </c>
      <c r="FG6" s="193">
        <v>46180</v>
      </c>
      <c r="FH6" s="193">
        <v>46181</v>
      </c>
      <c r="FI6" s="193">
        <v>46182</v>
      </c>
      <c r="FJ6" s="193">
        <v>46183</v>
      </c>
      <c r="FK6" s="193">
        <v>46184</v>
      </c>
      <c r="FL6" s="193">
        <v>46185</v>
      </c>
      <c r="FM6" s="193">
        <v>46186</v>
      </c>
      <c r="FN6" s="193">
        <v>46187</v>
      </c>
      <c r="FO6" s="193">
        <v>46188</v>
      </c>
      <c r="FP6" s="193">
        <v>46189</v>
      </c>
      <c r="FQ6" s="193">
        <v>46190</v>
      </c>
      <c r="FR6" s="193">
        <v>46191</v>
      </c>
      <c r="FS6" s="193">
        <v>46192</v>
      </c>
      <c r="FT6" s="193">
        <v>46193</v>
      </c>
      <c r="FU6" s="193">
        <v>46194</v>
      </c>
      <c r="FV6" s="193">
        <v>46195</v>
      </c>
      <c r="FW6" s="193">
        <v>46196</v>
      </c>
      <c r="FX6" s="193">
        <v>46197</v>
      </c>
      <c r="FY6" s="193">
        <v>46198</v>
      </c>
      <c r="FZ6" s="193">
        <v>46199</v>
      </c>
      <c r="GA6" s="193">
        <v>46200</v>
      </c>
      <c r="GB6" s="193">
        <v>46201</v>
      </c>
      <c r="GC6" s="193">
        <v>46202</v>
      </c>
      <c r="GD6" s="193">
        <v>46203</v>
      </c>
      <c r="GE6" s="193">
        <v>46204</v>
      </c>
      <c r="GF6" s="193">
        <v>46205</v>
      </c>
      <c r="GG6" s="193">
        <v>46206</v>
      </c>
      <c r="GH6" s="193">
        <v>46207</v>
      </c>
      <c r="GI6" s="193">
        <v>46208</v>
      </c>
      <c r="GJ6" s="193">
        <v>46209</v>
      </c>
      <c r="GK6" s="193">
        <v>46210</v>
      </c>
      <c r="GL6" s="193">
        <v>46211</v>
      </c>
      <c r="GM6" s="193">
        <v>46212</v>
      </c>
      <c r="GN6" s="193">
        <v>46213</v>
      </c>
      <c r="GO6" s="193">
        <v>46214</v>
      </c>
      <c r="GP6" s="193">
        <v>46215</v>
      </c>
      <c r="GQ6" s="193">
        <v>46216</v>
      </c>
      <c r="GR6" s="193">
        <v>46217</v>
      </c>
      <c r="GS6" s="193">
        <v>46218</v>
      </c>
      <c r="GT6" s="193">
        <v>46219</v>
      </c>
      <c r="GU6" s="193">
        <v>46220</v>
      </c>
      <c r="GV6" s="193">
        <v>46221</v>
      </c>
      <c r="GW6" s="193">
        <v>46222</v>
      </c>
      <c r="GX6" s="193">
        <v>46223</v>
      </c>
      <c r="GY6" s="193">
        <v>46224</v>
      </c>
      <c r="GZ6" s="193">
        <v>46225</v>
      </c>
      <c r="HA6" s="193">
        <v>46226</v>
      </c>
      <c r="HB6" s="193">
        <v>46227</v>
      </c>
      <c r="HC6" s="193">
        <v>46228</v>
      </c>
      <c r="HD6" s="193">
        <v>46229</v>
      </c>
      <c r="HE6" s="193">
        <v>46230</v>
      </c>
      <c r="HF6" s="193">
        <v>46231</v>
      </c>
      <c r="HG6" s="193">
        <v>46232</v>
      </c>
      <c r="HH6" s="193">
        <v>46233</v>
      </c>
      <c r="HI6" s="193">
        <v>46234</v>
      </c>
      <c r="HJ6" s="193">
        <v>46235</v>
      </c>
      <c r="HK6" s="193">
        <v>46236</v>
      </c>
      <c r="HL6" s="193">
        <v>46237</v>
      </c>
      <c r="HM6" s="193">
        <v>46238</v>
      </c>
      <c r="HN6" s="193">
        <v>46239</v>
      </c>
      <c r="HO6" s="193">
        <v>46240</v>
      </c>
      <c r="HP6" s="193">
        <v>46241</v>
      </c>
      <c r="HQ6" s="193">
        <v>46242</v>
      </c>
      <c r="HR6" s="193">
        <v>46243</v>
      </c>
      <c r="HS6" s="193">
        <v>46244</v>
      </c>
      <c r="HT6" s="193">
        <v>46245</v>
      </c>
      <c r="HU6" s="193">
        <v>46246</v>
      </c>
      <c r="HV6" s="193">
        <v>46247</v>
      </c>
      <c r="HW6" s="193">
        <v>46248</v>
      </c>
      <c r="HX6" s="193">
        <v>46249</v>
      </c>
      <c r="HY6" s="193">
        <v>46250</v>
      </c>
      <c r="HZ6" s="193">
        <v>46251</v>
      </c>
      <c r="IA6" s="193">
        <v>46252</v>
      </c>
      <c r="IB6" s="193">
        <v>46253</v>
      </c>
      <c r="IC6" s="193">
        <v>46254</v>
      </c>
      <c r="ID6" s="193">
        <v>46255</v>
      </c>
      <c r="IE6" s="193">
        <v>46256</v>
      </c>
      <c r="IF6" s="193">
        <v>46257</v>
      </c>
      <c r="IG6" s="193">
        <v>46258</v>
      </c>
      <c r="IH6" s="193">
        <v>46259</v>
      </c>
      <c r="II6" s="193">
        <v>46260</v>
      </c>
      <c r="IJ6" s="193">
        <v>46261</v>
      </c>
      <c r="IK6" s="193">
        <v>46262</v>
      </c>
      <c r="IL6" s="193">
        <v>46263</v>
      </c>
      <c r="IM6" s="193">
        <v>46264</v>
      </c>
      <c r="IN6" s="193">
        <v>46265</v>
      </c>
      <c r="IO6" s="193">
        <v>46266</v>
      </c>
      <c r="IP6" s="193">
        <v>46267</v>
      </c>
      <c r="IQ6" s="193">
        <v>46268</v>
      </c>
      <c r="IR6" s="193">
        <v>46269</v>
      </c>
      <c r="IS6" s="193">
        <v>46270</v>
      </c>
      <c r="IT6" s="193">
        <v>46271</v>
      </c>
      <c r="IU6" s="193">
        <v>46272</v>
      </c>
      <c r="IV6" s="193">
        <v>46273</v>
      </c>
      <c r="IW6" s="193">
        <v>46274</v>
      </c>
      <c r="IX6" s="193">
        <v>46275</v>
      </c>
      <c r="IY6" s="193">
        <v>46276</v>
      </c>
      <c r="IZ6" s="193">
        <v>46277</v>
      </c>
      <c r="JA6" s="193">
        <v>46278</v>
      </c>
      <c r="JB6" s="193">
        <v>46279</v>
      </c>
      <c r="JC6" s="193">
        <v>46280</v>
      </c>
      <c r="JD6" s="193">
        <v>46281</v>
      </c>
      <c r="JE6" s="193">
        <v>46282</v>
      </c>
      <c r="JF6" s="193">
        <v>46283</v>
      </c>
      <c r="JG6" s="193">
        <v>46284</v>
      </c>
      <c r="JH6" s="193">
        <v>46285</v>
      </c>
      <c r="JI6" s="193">
        <v>46286</v>
      </c>
      <c r="JJ6" s="193">
        <v>46287</v>
      </c>
      <c r="JK6" s="193">
        <v>46288</v>
      </c>
      <c r="JL6" s="193">
        <v>46289</v>
      </c>
      <c r="JM6" s="193">
        <v>46290</v>
      </c>
      <c r="JN6" s="193">
        <v>46291</v>
      </c>
      <c r="JO6" s="193">
        <v>46292</v>
      </c>
      <c r="JP6" s="193">
        <v>46293</v>
      </c>
      <c r="JQ6" s="193">
        <v>46294</v>
      </c>
      <c r="JR6" s="193">
        <v>46295</v>
      </c>
      <c r="JS6" s="193">
        <v>46296</v>
      </c>
      <c r="JT6" s="193">
        <v>46297</v>
      </c>
      <c r="JU6" s="193">
        <v>46298</v>
      </c>
      <c r="JV6" s="193">
        <v>46299</v>
      </c>
      <c r="JW6" s="193">
        <v>46300</v>
      </c>
      <c r="JX6" s="193">
        <v>46301</v>
      </c>
      <c r="JY6" s="193">
        <v>46302</v>
      </c>
      <c r="JZ6" s="193">
        <v>46303</v>
      </c>
      <c r="KA6" s="193">
        <v>46304</v>
      </c>
      <c r="KB6" s="193">
        <v>46305</v>
      </c>
      <c r="KC6" s="193">
        <v>46306</v>
      </c>
      <c r="KD6" s="193">
        <v>46307</v>
      </c>
      <c r="KE6" s="193">
        <v>46308</v>
      </c>
      <c r="KF6" s="193">
        <v>46309</v>
      </c>
      <c r="KG6" s="193">
        <v>46310</v>
      </c>
      <c r="KH6" s="193">
        <v>46311</v>
      </c>
      <c r="KI6" s="193">
        <v>46312</v>
      </c>
      <c r="KJ6" s="193">
        <v>46313</v>
      </c>
      <c r="KK6" s="193">
        <v>46314</v>
      </c>
      <c r="KL6" s="193">
        <v>46315</v>
      </c>
      <c r="KM6" s="193">
        <v>46316</v>
      </c>
      <c r="KN6" s="193">
        <v>46317</v>
      </c>
      <c r="KO6" s="193">
        <v>46318</v>
      </c>
      <c r="KP6" s="193">
        <v>46319</v>
      </c>
      <c r="KQ6" s="193">
        <v>46320</v>
      </c>
      <c r="KR6" s="193">
        <v>46321</v>
      </c>
      <c r="KS6" s="193">
        <v>46322</v>
      </c>
      <c r="KT6" s="193">
        <v>46323</v>
      </c>
      <c r="KU6" s="193">
        <v>46324</v>
      </c>
      <c r="KV6" s="193">
        <v>46325</v>
      </c>
      <c r="KW6" s="193">
        <v>46326</v>
      </c>
      <c r="KX6" s="193">
        <v>46327</v>
      </c>
      <c r="KY6" s="193">
        <v>46328</v>
      </c>
      <c r="KZ6" s="193">
        <v>46329</v>
      </c>
      <c r="LA6" s="193">
        <v>46330</v>
      </c>
      <c r="LB6" s="193">
        <v>46331</v>
      </c>
      <c r="LC6" s="193">
        <v>46332</v>
      </c>
      <c r="LD6" s="193">
        <v>46333</v>
      </c>
      <c r="LE6" s="193">
        <v>46334</v>
      </c>
      <c r="LF6" s="193">
        <v>46335</v>
      </c>
      <c r="LG6" s="193">
        <v>46336</v>
      </c>
      <c r="LH6" s="193">
        <v>46337</v>
      </c>
      <c r="LI6" s="193">
        <v>46338</v>
      </c>
      <c r="LJ6" s="193">
        <v>46339</v>
      </c>
      <c r="LK6" s="193">
        <v>46340</v>
      </c>
      <c r="LL6" s="193">
        <v>46341</v>
      </c>
      <c r="LM6" s="193">
        <v>46342</v>
      </c>
      <c r="LN6" s="193">
        <v>46343</v>
      </c>
      <c r="LO6" s="193">
        <v>46344</v>
      </c>
      <c r="LP6" s="193">
        <v>46345</v>
      </c>
      <c r="LQ6" s="193">
        <v>46346</v>
      </c>
      <c r="LR6" s="193">
        <v>46347</v>
      </c>
      <c r="LS6" s="193">
        <v>46348</v>
      </c>
      <c r="LT6" s="193">
        <v>46349</v>
      </c>
      <c r="LU6" s="193">
        <v>46350</v>
      </c>
      <c r="LV6" s="193">
        <v>46351</v>
      </c>
      <c r="LW6" s="193">
        <v>46352</v>
      </c>
      <c r="LX6" s="193">
        <v>46353</v>
      </c>
      <c r="LY6" s="193">
        <v>46354</v>
      </c>
      <c r="LZ6" s="193">
        <v>46355</v>
      </c>
      <c r="MA6" s="193">
        <v>46356</v>
      </c>
      <c r="MB6" s="193">
        <v>46357</v>
      </c>
      <c r="MC6" s="193">
        <v>46358</v>
      </c>
      <c r="MD6" s="193">
        <v>46359</v>
      </c>
      <c r="ME6" s="193">
        <v>46360</v>
      </c>
      <c r="MF6" s="193">
        <v>46361</v>
      </c>
      <c r="MG6" s="193">
        <v>46362</v>
      </c>
      <c r="MH6" s="193">
        <v>46363</v>
      </c>
      <c r="MI6" s="193">
        <v>46364</v>
      </c>
      <c r="MJ6" s="193">
        <v>46365</v>
      </c>
      <c r="MK6" s="193">
        <v>46366</v>
      </c>
      <c r="ML6" s="193">
        <v>46367</v>
      </c>
      <c r="MM6" s="193">
        <v>46368</v>
      </c>
      <c r="MN6" s="193">
        <v>46369</v>
      </c>
      <c r="MO6" s="193">
        <v>46370</v>
      </c>
      <c r="MP6" s="193">
        <v>46371</v>
      </c>
      <c r="MQ6" s="193">
        <v>46372</v>
      </c>
      <c r="MR6" s="193">
        <v>46373</v>
      </c>
      <c r="MS6" s="193">
        <v>46374</v>
      </c>
      <c r="MT6" s="193">
        <v>46375</v>
      </c>
      <c r="MU6" s="193">
        <v>46376</v>
      </c>
      <c r="MV6" s="193">
        <v>46377</v>
      </c>
      <c r="MW6" s="193">
        <v>46378</v>
      </c>
      <c r="MX6" s="193">
        <v>46379</v>
      </c>
      <c r="MY6" s="193">
        <v>46380</v>
      </c>
      <c r="MZ6" s="193">
        <v>46381</v>
      </c>
      <c r="NA6" s="193">
        <v>46382</v>
      </c>
      <c r="NB6" s="193">
        <v>46383</v>
      </c>
      <c r="NC6" s="193">
        <v>46384</v>
      </c>
      <c r="ND6" s="194">
        <v>46385</v>
      </c>
      <c r="NE6" s="194">
        <v>46386</v>
      </c>
      <c r="NF6" s="123"/>
      <c r="NG6" s="123"/>
      <c r="NH6" s="123"/>
      <c r="NI6" s="123"/>
      <c r="NJ6" s="123"/>
      <c r="NK6" s="123"/>
      <c r="NL6" s="123"/>
      <c r="NM6" s="123"/>
      <c r="NN6" s="123"/>
      <c r="NO6" s="123"/>
      <c r="NP6" s="123"/>
      <c r="NQ6" s="123"/>
      <c r="NR6" s="123"/>
      <c r="NS6" s="123"/>
      <c r="NT6" s="123"/>
      <c r="NU6" s="123"/>
      <c r="NV6" s="123"/>
      <c r="NW6" s="123"/>
      <c r="NX6" s="123"/>
      <c r="NY6" s="123"/>
      <c r="NZ6" s="123"/>
      <c r="OA6" s="123"/>
      <c r="OB6" s="123"/>
      <c r="OC6" s="123"/>
      <c r="OD6" s="123"/>
      <c r="OE6" s="123"/>
      <c r="OF6" s="123"/>
      <c r="OG6" s="123"/>
      <c r="OH6" s="123"/>
      <c r="OI6" s="123"/>
      <c r="OJ6" s="123"/>
      <c r="OK6" s="123"/>
      <c r="OL6" s="123"/>
      <c r="OM6" s="123"/>
      <c r="ON6" s="123"/>
      <c r="OO6" s="123"/>
      <c r="OP6" s="123"/>
      <c r="OQ6" s="123"/>
      <c r="OR6" s="123"/>
      <c r="OS6" s="123"/>
      <c r="OT6" s="123"/>
      <c r="OU6" s="123"/>
      <c r="OV6" s="123"/>
      <c r="OW6" s="123"/>
      <c r="OX6" s="123"/>
      <c r="OY6" s="123"/>
      <c r="OZ6" s="123"/>
      <c r="PA6" s="123"/>
      <c r="PB6" s="123"/>
      <c r="PC6" s="123"/>
      <c r="PD6" s="123"/>
      <c r="PE6" s="123"/>
      <c r="PF6" s="123"/>
      <c r="PG6" s="123"/>
      <c r="PH6" s="123"/>
      <c r="PI6" s="123"/>
      <c r="PJ6" s="123"/>
      <c r="PK6" s="123"/>
      <c r="PL6" s="123"/>
      <c r="PM6" s="123"/>
      <c r="PN6" s="123"/>
      <c r="PO6" s="123"/>
      <c r="PP6" s="123"/>
      <c r="PQ6" s="123"/>
      <c r="PR6" s="123"/>
      <c r="PS6" s="123"/>
      <c r="PT6" s="123"/>
      <c r="PU6" s="123"/>
      <c r="PV6" s="123"/>
      <c r="PW6" s="123"/>
      <c r="PX6" s="123"/>
      <c r="PY6" s="123"/>
      <c r="PZ6" s="123"/>
      <c r="QA6" s="123"/>
      <c r="QB6" s="123"/>
      <c r="QC6" s="123"/>
      <c r="QD6" s="123"/>
      <c r="QE6" s="123"/>
      <c r="QF6" s="123"/>
      <c r="QG6" s="123"/>
      <c r="QH6" s="123"/>
      <c r="QI6" s="123"/>
      <c r="QJ6" s="123"/>
      <c r="QK6" s="123"/>
      <c r="QL6" s="123"/>
      <c r="QM6" s="123"/>
      <c r="QN6" s="123"/>
      <c r="QO6" s="123"/>
      <c r="QP6" s="123"/>
      <c r="QQ6" s="123"/>
      <c r="QR6" s="123"/>
      <c r="QS6" s="123"/>
      <c r="QT6" s="123"/>
      <c r="QU6" s="123"/>
      <c r="QV6" s="123"/>
      <c r="QW6" s="123"/>
      <c r="QX6" s="123"/>
      <c r="QY6" s="123"/>
      <c r="QZ6" s="123"/>
      <c r="RA6" s="123"/>
      <c r="RB6" s="123"/>
      <c r="RC6" s="123"/>
      <c r="RD6" s="123"/>
      <c r="RE6" s="123"/>
      <c r="RF6" s="123"/>
      <c r="RG6" s="123"/>
      <c r="RH6" s="123"/>
      <c r="RI6" s="123"/>
      <c r="RJ6" s="123"/>
      <c r="RK6" s="123"/>
      <c r="RL6" s="123"/>
      <c r="RM6" s="123"/>
      <c r="RN6" s="123"/>
      <c r="RO6" s="123"/>
      <c r="RP6" s="123"/>
      <c r="RQ6" s="123"/>
      <c r="RR6" s="123"/>
      <c r="RS6" s="123"/>
      <c r="RT6" s="123"/>
      <c r="RU6" s="123"/>
      <c r="RV6" s="123"/>
      <c r="RW6" s="123"/>
      <c r="RX6" s="123"/>
      <c r="RY6" s="123"/>
      <c r="RZ6" s="123"/>
      <c r="SA6" s="123"/>
      <c r="SB6" s="123"/>
      <c r="SC6" s="123"/>
      <c r="SD6" s="123"/>
      <c r="SE6" s="123"/>
      <c r="SF6" s="123"/>
      <c r="SG6" s="123"/>
      <c r="SH6" s="123"/>
      <c r="SI6" s="123"/>
      <c r="SJ6" s="123"/>
      <c r="SK6" s="123"/>
      <c r="SL6" s="123"/>
      <c r="SM6" s="123"/>
      <c r="SN6" s="123"/>
      <c r="SO6" s="123"/>
      <c r="SP6" s="123"/>
      <c r="SQ6" s="123"/>
      <c r="SR6" s="123"/>
      <c r="SS6" s="123"/>
      <c r="ST6" s="123"/>
      <c r="SU6" s="123"/>
      <c r="SV6" s="123"/>
      <c r="SW6" s="123"/>
      <c r="SX6" s="123"/>
      <c r="SY6" s="123"/>
      <c r="SZ6" s="123"/>
      <c r="TA6" s="123"/>
      <c r="TB6" s="123"/>
      <c r="TC6" s="123"/>
      <c r="TD6" s="123"/>
      <c r="TE6" s="123"/>
      <c r="TF6" s="123"/>
      <c r="TG6" s="123"/>
      <c r="TH6" s="123"/>
      <c r="TI6" s="123"/>
      <c r="TJ6" s="123"/>
      <c r="TK6" s="123"/>
      <c r="TL6" s="123"/>
      <c r="TM6" s="123"/>
      <c r="TN6" s="123"/>
      <c r="TO6" s="123"/>
      <c r="TP6" s="123"/>
      <c r="TQ6" s="123"/>
      <c r="TR6" s="123"/>
      <c r="TS6" s="123"/>
      <c r="TT6" s="123"/>
      <c r="TU6" s="123"/>
      <c r="TV6" s="123"/>
      <c r="TW6" s="123"/>
      <c r="TX6" s="123"/>
      <c r="TY6" s="123"/>
      <c r="TZ6" s="123"/>
      <c r="UA6" s="123"/>
      <c r="UB6" s="123"/>
      <c r="UC6" s="123"/>
      <c r="UD6" s="123"/>
      <c r="UE6" s="123"/>
      <c r="UF6" s="123"/>
      <c r="UG6" s="123"/>
      <c r="UH6" s="123"/>
      <c r="UI6" s="123"/>
      <c r="UJ6" s="123"/>
      <c r="UK6" s="123"/>
      <c r="UL6" s="123"/>
      <c r="UM6" s="123"/>
      <c r="UN6" s="123"/>
      <c r="UO6" s="123"/>
      <c r="UP6" s="123"/>
      <c r="UQ6" s="123"/>
      <c r="UR6" s="123"/>
      <c r="US6" s="123"/>
      <c r="UT6" s="123"/>
      <c r="UU6" s="123"/>
      <c r="UV6" s="123"/>
      <c r="UW6" s="123"/>
      <c r="UX6" s="123"/>
      <c r="UY6" s="123"/>
      <c r="UZ6" s="123"/>
      <c r="VA6" s="123"/>
      <c r="VB6" s="123"/>
      <c r="VC6" s="123"/>
      <c r="VD6" s="123"/>
      <c r="VE6" s="123"/>
      <c r="VF6" s="123"/>
      <c r="VG6" s="123"/>
      <c r="VH6" s="123"/>
      <c r="VI6" s="123"/>
      <c r="VJ6" s="123"/>
      <c r="VK6" s="123"/>
      <c r="VL6" s="123"/>
      <c r="VM6" s="123"/>
      <c r="VN6" s="123"/>
      <c r="VO6" s="123"/>
      <c r="VP6" s="123"/>
      <c r="VQ6" s="123"/>
      <c r="VR6" s="123"/>
      <c r="VS6" s="123"/>
      <c r="VT6" s="123"/>
      <c r="VU6" s="123"/>
      <c r="VV6" s="123"/>
      <c r="VW6" s="123"/>
      <c r="VX6" s="123"/>
      <c r="VY6" s="123"/>
      <c r="VZ6" s="123"/>
      <c r="WA6" s="123"/>
      <c r="WB6" s="123"/>
      <c r="WC6" s="123"/>
      <c r="WD6" s="123"/>
      <c r="WE6" s="123"/>
      <c r="WF6" s="123"/>
      <c r="WG6" s="123"/>
      <c r="WH6" s="123"/>
      <c r="WI6" s="123"/>
      <c r="WJ6" s="123"/>
      <c r="WK6" s="123"/>
      <c r="WL6" s="123"/>
      <c r="WM6" s="123"/>
      <c r="WN6" s="123"/>
      <c r="WO6" s="123"/>
      <c r="WP6" s="123"/>
      <c r="WQ6" s="123"/>
      <c r="WR6" s="123"/>
      <c r="WS6" s="123"/>
      <c r="WT6" s="123"/>
      <c r="WU6" s="123"/>
      <c r="WV6" s="123"/>
      <c r="WW6" s="123"/>
      <c r="WX6" s="123"/>
      <c r="WY6" s="123"/>
      <c r="WZ6" s="123"/>
      <c r="XA6" s="123"/>
      <c r="XB6" s="123"/>
      <c r="XC6" s="123"/>
      <c r="XD6" s="123"/>
      <c r="XE6" s="123"/>
      <c r="XF6" s="123"/>
      <c r="XG6" s="123"/>
      <c r="XH6" s="123"/>
      <c r="XI6" s="123"/>
      <c r="XJ6" s="123"/>
      <c r="XK6" s="123"/>
      <c r="XL6" s="123"/>
      <c r="XM6" s="123"/>
      <c r="XN6" s="123"/>
      <c r="XO6" s="123"/>
      <c r="XP6" s="123"/>
      <c r="XQ6" s="123"/>
      <c r="XR6" s="123"/>
      <c r="XS6" s="123"/>
      <c r="XT6" s="123"/>
      <c r="XU6" s="123"/>
      <c r="XV6" s="123"/>
      <c r="XW6" s="123"/>
      <c r="XX6" s="123"/>
      <c r="XY6" s="123"/>
      <c r="XZ6" s="123"/>
      <c r="YA6" s="123"/>
      <c r="YB6" s="123"/>
      <c r="YC6" s="123"/>
      <c r="YD6" s="123"/>
      <c r="YE6" s="123"/>
      <c r="YF6" s="123"/>
      <c r="YG6" s="123"/>
      <c r="YH6" s="123"/>
      <c r="YI6" s="123"/>
      <c r="YJ6" s="123"/>
      <c r="YK6" s="123"/>
      <c r="YL6" s="123"/>
      <c r="YM6" s="123"/>
      <c r="YN6" s="123"/>
      <c r="YO6" s="123"/>
      <c r="YP6" s="123"/>
      <c r="YQ6" s="123"/>
      <c r="YR6" s="123"/>
      <c r="YS6" s="123"/>
      <c r="YT6" s="123"/>
      <c r="YU6" s="123"/>
      <c r="YV6" s="123"/>
      <c r="YW6" s="123"/>
      <c r="YX6" s="123"/>
      <c r="YY6" s="123"/>
      <c r="YZ6" s="123"/>
      <c r="ZA6" s="123"/>
      <c r="ZB6" s="123"/>
      <c r="ZC6" s="123"/>
      <c r="ZD6" s="123"/>
      <c r="ZE6" s="123"/>
      <c r="ZF6" s="123"/>
      <c r="ZG6" s="123"/>
      <c r="ZH6" s="123"/>
      <c r="ZI6" s="123"/>
      <c r="ZJ6" s="123"/>
      <c r="ZK6" s="123"/>
      <c r="ZL6" s="123"/>
      <c r="ZM6" s="123"/>
      <c r="ZN6" s="123"/>
      <c r="ZO6" s="123"/>
      <c r="ZP6" s="123"/>
      <c r="ZQ6" s="123"/>
      <c r="ZR6" s="123"/>
      <c r="ZS6" s="123"/>
      <c r="ZT6" s="123"/>
      <c r="ZU6" s="123"/>
      <c r="ZV6" s="123"/>
      <c r="ZW6" s="123"/>
      <c r="ZX6" s="123"/>
      <c r="ZY6" s="123"/>
      <c r="ZZ6" s="123"/>
      <c r="AAA6" s="123"/>
      <c r="AAB6" s="123"/>
      <c r="AAC6" s="123"/>
      <c r="AAD6" s="123"/>
      <c r="AAE6" s="123"/>
      <c r="AAF6" s="123"/>
      <c r="AAG6" s="123"/>
      <c r="AAH6" s="123"/>
      <c r="AAI6" s="123"/>
      <c r="AAJ6" s="123"/>
      <c r="AAK6" s="123"/>
      <c r="AAL6" s="123"/>
      <c r="AAM6" s="123"/>
      <c r="AAN6" s="123"/>
      <c r="AAO6" s="123"/>
      <c r="AAP6" s="123"/>
      <c r="AAQ6" s="123"/>
      <c r="AAR6" s="123"/>
      <c r="AAS6" s="123"/>
      <c r="AAT6" s="123"/>
      <c r="AAU6" s="123"/>
      <c r="AAV6" s="123"/>
      <c r="AAW6" s="123"/>
      <c r="AAX6" s="123"/>
      <c r="AAY6" s="123"/>
      <c r="AAZ6" s="123"/>
      <c r="ABA6" s="123"/>
      <c r="ABB6" s="123"/>
      <c r="ABC6" s="123"/>
      <c r="ABD6" s="123"/>
      <c r="ABE6" s="123"/>
      <c r="ABF6" s="123"/>
      <c r="ABG6" s="123"/>
      <c r="ABH6" s="123"/>
      <c r="ABI6" s="123"/>
      <c r="ABJ6" s="123"/>
      <c r="ABK6" s="123"/>
      <c r="ABL6" s="123"/>
      <c r="ABM6" s="123"/>
      <c r="ABN6" s="123"/>
      <c r="ABO6" s="123"/>
      <c r="ABP6" s="123"/>
      <c r="ABQ6" s="123"/>
      <c r="ABR6" s="123"/>
      <c r="ABS6" s="123"/>
      <c r="ABT6" s="123"/>
      <c r="ABU6" s="123"/>
      <c r="ABV6" s="123"/>
      <c r="ABW6" s="123"/>
      <c r="ABX6" s="123"/>
      <c r="ABY6" s="123"/>
      <c r="ABZ6" s="123"/>
      <c r="ACA6" s="123"/>
      <c r="ACB6" s="123"/>
      <c r="ACC6" s="123"/>
      <c r="ACD6" s="123"/>
      <c r="ACE6" s="123"/>
      <c r="ACF6" s="123"/>
      <c r="ACG6" s="123"/>
      <c r="ACH6" s="123"/>
      <c r="ACI6" s="123"/>
      <c r="ACJ6" s="123"/>
      <c r="ACK6" s="123"/>
      <c r="ACL6" s="123"/>
      <c r="ACM6" s="123"/>
      <c r="ACN6" s="123"/>
      <c r="ACO6" s="123"/>
      <c r="ACP6" s="123"/>
      <c r="ACQ6" s="123"/>
      <c r="ACR6" s="123"/>
      <c r="ACS6" s="123"/>
      <c r="ACT6" s="123"/>
      <c r="ACU6" s="123"/>
      <c r="ACV6" s="123"/>
      <c r="ACW6" s="123"/>
      <c r="ACX6" s="123"/>
      <c r="ACY6" s="123"/>
      <c r="ACZ6" s="123"/>
      <c r="ADA6" s="123"/>
      <c r="ADB6" s="123"/>
      <c r="ADC6" s="123"/>
      <c r="ADD6" s="123"/>
      <c r="ADE6" s="123"/>
      <c r="ADF6" s="123"/>
      <c r="ADG6" s="123"/>
      <c r="ADH6" s="123"/>
      <c r="ADI6" s="123"/>
      <c r="ADJ6" s="123"/>
      <c r="ADK6" s="123"/>
      <c r="ADL6" s="123"/>
      <c r="ADM6" s="123"/>
      <c r="ADN6" s="123"/>
      <c r="ADO6" s="123"/>
      <c r="ADP6" s="123"/>
      <c r="ADQ6" s="123"/>
      <c r="ADR6" s="123"/>
      <c r="ADS6" s="123"/>
      <c r="ADT6" s="123"/>
      <c r="ADU6" s="123"/>
      <c r="ADV6" s="123"/>
      <c r="ADW6" s="123"/>
      <c r="ADX6" s="123"/>
      <c r="ADY6" s="123"/>
      <c r="ADZ6" s="123"/>
      <c r="AEA6" s="123"/>
      <c r="AEB6" s="123"/>
      <c r="AEC6" s="123"/>
      <c r="AED6" s="123"/>
      <c r="AEE6" s="123"/>
      <c r="AEF6" s="123"/>
      <c r="AEG6" s="123"/>
      <c r="AEH6" s="123"/>
      <c r="AEI6" s="123"/>
      <c r="AEJ6" s="123"/>
      <c r="AEK6" s="123"/>
      <c r="AEL6" s="123"/>
      <c r="AEM6" s="123"/>
      <c r="AEN6" s="123"/>
      <c r="AEO6" s="123"/>
      <c r="AEP6" s="123"/>
      <c r="AEQ6" s="123"/>
      <c r="AER6" s="123"/>
      <c r="AES6" s="123"/>
      <c r="AET6" s="123"/>
      <c r="AEU6" s="123"/>
      <c r="AEV6" s="123"/>
      <c r="AEW6" s="123"/>
      <c r="AEX6" s="123"/>
      <c r="AEY6" s="123"/>
      <c r="AEZ6" s="123"/>
      <c r="AFA6" s="123"/>
      <c r="AFB6" s="123"/>
      <c r="AFC6" s="123"/>
      <c r="AFD6" s="123"/>
      <c r="AFE6" s="123"/>
      <c r="AFF6" s="123"/>
      <c r="AFG6" s="123"/>
      <c r="AFH6" s="123"/>
      <c r="AFI6" s="123"/>
      <c r="AFJ6" s="123"/>
      <c r="AFK6" s="123"/>
      <c r="AFL6" s="123"/>
      <c r="AFM6" s="123"/>
      <c r="AFN6" s="123"/>
      <c r="AFO6" s="123"/>
      <c r="AFP6" s="123"/>
      <c r="AFQ6" s="123"/>
      <c r="AFR6" s="123"/>
      <c r="AFS6" s="123"/>
      <c r="AFT6" s="123"/>
      <c r="AFU6" s="123"/>
      <c r="AFV6" s="123"/>
      <c r="AFW6" s="123"/>
      <c r="AFX6" s="123"/>
      <c r="AFY6" s="123"/>
      <c r="AFZ6" s="123"/>
      <c r="AGA6" s="123"/>
      <c r="AGB6" s="123"/>
      <c r="AGC6" s="123"/>
      <c r="AGD6" s="123"/>
      <c r="AGE6" s="123"/>
      <c r="AGF6" s="123"/>
      <c r="AGG6" s="123"/>
      <c r="AGH6" s="123"/>
      <c r="AGI6" s="123"/>
      <c r="AGJ6" s="123"/>
      <c r="AGK6" s="123"/>
      <c r="AGL6" s="123"/>
      <c r="AGM6" s="123"/>
      <c r="AGN6" s="123"/>
      <c r="AGO6" s="123"/>
      <c r="AGP6" s="123"/>
      <c r="AGQ6" s="123"/>
      <c r="AGR6" s="123"/>
      <c r="AGS6" s="123"/>
      <c r="AGT6" s="123"/>
      <c r="AGU6" s="123"/>
      <c r="AGV6" s="123"/>
      <c r="AGW6" s="123"/>
      <c r="AGX6" s="123"/>
      <c r="AGY6" s="123"/>
      <c r="AGZ6" s="123"/>
      <c r="AHA6" s="123"/>
      <c r="AHB6" s="123"/>
      <c r="AHC6" s="123"/>
      <c r="AHD6" s="123"/>
      <c r="AHE6" s="123"/>
      <c r="AHF6" s="123"/>
      <c r="AHG6" s="123"/>
      <c r="AHH6" s="123"/>
      <c r="AHI6" s="123"/>
      <c r="AHJ6" s="123"/>
      <c r="AHK6" s="123"/>
      <c r="AHL6" s="123"/>
      <c r="AHM6" s="123"/>
      <c r="AHN6" s="123"/>
      <c r="AHO6" s="123"/>
      <c r="AHP6" s="123"/>
      <c r="AHQ6" s="123"/>
      <c r="AHR6" s="123"/>
      <c r="AHS6" s="123"/>
      <c r="AHT6" s="123"/>
      <c r="AHU6" s="123"/>
      <c r="AHV6" s="123"/>
      <c r="AHW6" s="123"/>
      <c r="AHX6" s="123"/>
      <c r="AHY6" s="123"/>
      <c r="AHZ6" s="123"/>
      <c r="AIA6" s="123"/>
      <c r="AIB6" s="123"/>
      <c r="AIC6" s="123"/>
      <c r="AID6" s="123"/>
      <c r="AIE6" s="123"/>
      <c r="AIF6" s="123"/>
      <c r="AIG6" s="123"/>
      <c r="AIH6" s="123"/>
      <c r="AII6" s="123"/>
      <c r="AIJ6" s="123"/>
      <c r="AIK6" s="123"/>
      <c r="AIL6" s="123"/>
      <c r="AIM6" s="123"/>
      <c r="AIN6" s="123"/>
      <c r="AIO6" s="123"/>
      <c r="AIP6" s="123"/>
      <c r="AIQ6" s="123"/>
      <c r="AIR6" s="123"/>
      <c r="AIS6" s="123"/>
      <c r="AIT6" s="123"/>
      <c r="AIU6" s="123"/>
      <c r="AIV6" s="123"/>
      <c r="AIW6" s="123"/>
      <c r="AIX6" s="123"/>
      <c r="AIY6" s="123"/>
      <c r="AIZ6" s="123"/>
      <c r="AJA6" s="123"/>
      <c r="AJB6" s="123"/>
      <c r="AJC6" s="123"/>
      <c r="AJD6" s="123"/>
      <c r="AJE6" s="123"/>
      <c r="AJF6" s="123"/>
      <c r="AJG6" s="123"/>
      <c r="AJH6" s="123"/>
      <c r="AJI6" s="123"/>
      <c r="AJJ6" s="123"/>
      <c r="AJK6" s="123"/>
      <c r="AJL6" s="123"/>
      <c r="AJM6" s="123"/>
      <c r="AJN6" s="123"/>
      <c r="AJO6" s="123"/>
      <c r="AJP6" s="123"/>
      <c r="AJQ6" s="123"/>
      <c r="AJR6" s="123"/>
      <c r="AJS6" s="123"/>
      <c r="AJT6" s="123"/>
      <c r="AJU6" s="123"/>
      <c r="AJV6" s="123"/>
      <c r="AJW6" s="123"/>
      <c r="AJX6" s="123"/>
      <c r="AJY6" s="123"/>
      <c r="AJZ6" s="123"/>
      <c r="AKA6" s="123"/>
      <c r="AKB6" s="123"/>
      <c r="AKC6" s="123"/>
      <c r="AKD6" s="123"/>
      <c r="AKE6" s="123"/>
      <c r="AKF6" s="123"/>
      <c r="AKG6" s="123"/>
      <c r="AKH6" s="123"/>
      <c r="AKI6" s="123"/>
      <c r="AKJ6" s="123"/>
      <c r="AKK6" s="123"/>
      <c r="AKL6" s="123"/>
      <c r="AKM6" s="123"/>
      <c r="AKN6" s="123"/>
      <c r="AKO6" s="123"/>
      <c r="AKP6" s="123"/>
      <c r="AKQ6" s="123"/>
      <c r="AKR6" s="123"/>
      <c r="AKS6" s="123"/>
      <c r="AKT6" s="123"/>
      <c r="AKU6" s="123"/>
      <c r="AKV6" s="123"/>
      <c r="AKW6" s="123"/>
      <c r="AKX6" s="123"/>
      <c r="AKY6" s="123"/>
      <c r="AKZ6" s="123"/>
      <c r="ALA6" s="123"/>
      <c r="ALB6" s="123"/>
      <c r="ALC6" s="123"/>
      <c r="ALD6" s="123"/>
      <c r="ALE6" s="123"/>
      <c r="ALF6" s="123"/>
      <c r="ALG6" s="123"/>
      <c r="ALH6" s="123"/>
      <c r="ALI6" s="123"/>
      <c r="ALJ6" s="123"/>
      <c r="ALK6" s="123"/>
      <c r="ALL6" s="123"/>
      <c r="ALM6" s="123"/>
      <c r="ALN6" s="123"/>
      <c r="ALO6" s="123"/>
      <c r="ALP6" s="123"/>
      <c r="ALQ6" s="123"/>
      <c r="ALR6" s="123"/>
      <c r="ALS6" s="123"/>
      <c r="ALT6" s="123"/>
      <c r="ALU6" s="123"/>
      <c r="ALV6" s="123"/>
      <c r="ALW6" s="123"/>
      <c r="ALX6" s="123"/>
      <c r="ALY6" s="123"/>
      <c r="ALZ6" s="123"/>
      <c r="AMA6" s="123"/>
      <c r="AMB6" s="123"/>
      <c r="AMC6" s="123"/>
      <c r="AMD6" s="123"/>
      <c r="AME6" s="123"/>
      <c r="AMF6" s="123"/>
      <c r="AMG6" s="123"/>
      <c r="AMH6" s="123"/>
      <c r="AMI6" s="123"/>
      <c r="AMJ6" s="123"/>
      <c r="AMK6" s="123"/>
      <c r="AML6" s="123"/>
      <c r="AMM6" s="123"/>
      <c r="AMN6" s="123"/>
      <c r="AMO6" s="123"/>
      <c r="AMP6" s="123"/>
      <c r="AMQ6" s="123"/>
      <c r="AMR6" s="123"/>
      <c r="AMS6" s="123"/>
      <c r="AMT6" s="123"/>
      <c r="AMU6" s="123"/>
      <c r="AMV6" s="123"/>
      <c r="AMW6" s="123"/>
      <c r="AMX6" s="123"/>
      <c r="AMY6" s="123"/>
      <c r="AMZ6" s="123"/>
      <c r="ANA6" s="123"/>
      <c r="ANB6" s="123"/>
      <c r="ANC6" s="123"/>
      <c r="AND6" s="123"/>
      <c r="ANE6" s="123"/>
      <c r="ANF6" s="123"/>
      <c r="ANG6" s="123"/>
      <c r="ANH6" s="123"/>
      <c r="ANI6" s="123"/>
      <c r="ANJ6" s="123"/>
      <c r="ANK6" s="123"/>
      <c r="ANL6" s="123"/>
      <c r="ANM6" s="123"/>
      <c r="ANN6" s="123"/>
      <c r="ANO6" s="123"/>
      <c r="ANP6" s="123"/>
      <c r="ANQ6" s="123"/>
      <c r="ANR6" s="123"/>
      <c r="ANS6" s="123"/>
      <c r="ANT6" s="123"/>
      <c r="ANU6" s="123"/>
    </row>
    <row r="7" spans="1:1061" hidden="1" x14ac:dyDescent="0.2">
      <c r="A7" s="5"/>
      <c r="B7" s="204"/>
      <c r="C7" s="70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1"/>
      <c r="DE7" s="71"/>
      <c r="DF7" s="71"/>
      <c r="DG7" s="71"/>
      <c r="DH7" s="71"/>
      <c r="DI7" s="71"/>
      <c r="DJ7" s="71"/>
      <c r="DK7" s="71"/>
      <c r="DL7" s="71"/>
      <c r="DM7" s="71"/>
      <c r="DN7" s="71"/>
      <c r="DO7" s="71"/>
      <c r="DP7" s="71"/>
      <c r="DQ7" s="71"/>
      <c r="DR7" s="71"/>
      <c r="DS7" s="71"/>
      <c r="DT7" s="71"/>
      <c r="DU7" s="71"/>
      <c r="DV7" s="71"/>
      <c r="DW7" s="71"/>
      <c r="DX7" s="71"/>
      <c r="DY7" s="71"/>
      <c r="DZ7" s="71"/>
      <c r="EA7" s="71"/>
      <c r="EB7" s="71"/>
      <c r="EC7" s="71"/>
      <c r="ED7" s="71"/>
      <c r="EE7" s="71"/>
      <c r="EF7" s="71"/>
      <c r="EG7" s="71"/>
      <c r="EH7" s="71"/>
      <c r="EI7" s="71"/>
      <c r="EJ7" s="71"/>
      <c r="EK7" s="71"/>
      <c r="EL7" s="71"/>
      <c r="EM7" s="71"/>
      <c r="EN7" s="71"/>
      <c r="EO7" s="71"/>
      <c r="EP7" s="71"/>
      <c r="EQ7" s="71"/>
      <c r="ER7" s="71"/>
      <c r="ES7" s="71"/>
      <c r="ET7" s="71"/>
      <c r="EU7" s="71"/>
      <c r="EV7" s="71"/>
      <c r="EW7" s="71"/>
      <c r="EX7" s="71"/>
      <c r="EY7" s="71"/>
      <c r="EZ7" s="71"/>
      <c r="FA7" s="71"/>
      <c r="FB7" s="71"/>
      <c r="FC7" s="71"/>
      <c r="FD7" s="71"/>
      <c r="FE7" s="71"/>
      <c r="FF7" s="71"/>
      <c r="FG7" s="71"/>
      <c r="FH7" s="71"/>
      <c r="FI7" s="71"/>
      <c r="FJ7" s="71"/>
      <c r="FK7" s="71"/>
      <c r="FL7" s="71"/>
      <c r="FM7" s="71"/>
      <c r="FN7" s="71"/>
      <c r="FO7" s="71"/>
      <c r="FP7" s="71"/>
      <c r="FQ7" s="71"/>
      <c r="FR7" s="71"/>
      <c r="FS7" s="71"/>
      <c r="FT7" s="71"/>
      <c r="FU7" s="71"/>
      <c r="FV7" s="71"/>
      <c r="FW7" s="71"/>
      <c r="FX7" s="71"/>
      <c r="FY7" s="71"/>
      <c r="FZ7" s="71"/>
      <c r="GA7" s="71"/>
      <c r="GB7" s="71"/>
      <c r="GC7" s="71"/>
      <c r="GD7" s="71"/>
      <c r="GE7" s="71"/>
      <c r="GF7" s="71"/>
      <c r="GG7" s="71"/>
      <c r="GH7" s="71"/>
      <c r="GI7" s="71"/>
      <c r="GJ7" s="71"/>
      <c r="GK7" s="71"/>
      <c r="GL7" s="71"/>
      <c r="GM7" s="71"/>
      <c r="GN7" s="71"/>
      <c r="GO7" s="71"/>
      <c r="GP7" s="71"/>
      <c r="GQ7" s="71"/>
      <c r="GR7" s="71"/>
      <c r="GS7" s="71"/>
      <c r="GT7" s="71"/>
      <c r="GU7" s="71"/>
      <c r="GV7" s="71"/>
      <c r="GW7" s="71"/>
      <c r="GX7" s="71"/>
      <c r="GY7" s="71"/>
      <c r="GZ7" s="71"/>
      <c r="HA7" s="71"/>
      <c r="HB7" s="71"/>
      <c r="HC7" s="71"/>
      <c r="HD7" s="71"/>
      <c r="HE7" s="71"/>
      <c r="HF7" s="71"/>
      <c r="HG7" s="71"/>
      <c r="HH7" s="71"/>
      <c r="HI7" s="71"/>
      <c r="HJ7" s="71"/>
      <c r="HK7" s="71"/>
      <c r="HL7" s="71"/>
      <c r="HM7" s="71"/>
      <c r="HN7" s="71"/>
      <c r="HO7" s="71"/>
      <c r="HP7" s="71"/>
      <c r="HQ7" s="71"/>
      <c r="HR7" s="71"/>
      <c r="HS7" s="71"/>
      <c r="HT7" s="71"/>
      <c r="HU7" s="71"/>
      <c r="HV7" s="71"/>
      <c r="HW7" s="71"/>
      <c r="HX7" s="71"/>
      <c r="HY7" s="71"/>
      <c r="HZ7" s="71"/>
      <c r="IA7" s="71"/>
      <c r="IB7" s="71"/>
      <c r="IC7" s="71"/>
      <c r="ID7" s="71"/>
      <c r="IE7" s="71"/>
      <c r="IF7" s="71"/>
      <c r="IG7" s="71"/>
      <c r="IH7" s="71"/>
      <c r="II7" s="71"/>
      <c r="IJ7" s="71"/>
      <c r="IK7" s="71"/>
      <c r="IL7" s="71"/>
      <c r="IM7" s="71"/>
      <c r="IN7" s="71"/>
      <c r="IO7" s="71"/>
      <c r="IP7" s="71"/>
      <c r="IQ7" s="71"/>
      <c r="IR7" s="71"/>
      <c r="IS7" s="71"/>
      <c r="IT7" s="71"/>
      <c r="IU7" s="71"/>
      <c r="IV7" s="71"/>
      <c r="IW7" s="71"/>
      <c r="IX7" s="71"/>
      <c r="IY7" s="71"/>
      <c r="IZ7" s="71"/>
      <c r="JA7" s="71"/>
      <c r="JB7" s="71"/>
      <c r="JC7" s="71"/>
      <c r="JD7" s="71"/>
      <c r="JE7" s="71"/>
      <c r="JF7" s="71"/>
      <c r="JG7" s="71"/>
      <c r="JH7" s="71"/>
      <c r="JI7" s="71"/>
      <c r="JJ7" s="71"/>
      <c r="JK7" s="71"/>
      <c r="JL7" s="71"/>
      <c r="JM7" s="71"/>
      <c r="JN7" s="71"/>
      <c r="JO7" s="71"/>
      <c r="JP7" s="71"/>
      <c r="JQ7" s="71"/>
      <c r="JR7" s="71"/>
      <c r="JS7" s="71"/>
      <c r="JT7" s="71"/>
      <c r="JU7" s="71"/>
      <c r="JV7" s="71"/>
      <c r="JW7" s="71"/>
      <c r="JX7" s="71"/>
      <c r="JY7" s="71"/>
      <c r="JZ7" s="71"/>
      <c r="KA7" s="71"/>
      <c r="KB7" s="71"/>
      <c r="KC7" s="71"/>
      <c r="KD7" s="71"/>
      <c r="KE7" s="71"/>
      <c r="KF7" s="71"/>
      <c r="KG7" s="71"/>
      <c r="KH7" s="71"/>
      <c r="KI7" s="71"/>
      <c r="KJ7" s="71"/>
      <c r="KK7" s="71"/>
      <c r="KL7" s="76"/>
      <c r="KM7" s="71"/>
      <c r="KN7" s="71"/>
      <c r="KO7" s="71"/>
      <c r="KP7" s="71"/>
      <c r="KQ7" s="71"/>
      <c r="KR7" s="71"/>
      <c r="KS7" s="71"/>
      <c r="KT7" s="71"/>
      <c r="KU7" s="71"/>
      <c r="KV7" s="71"/>
      <c r="KW7" s="71"/>
      <c r="KX7" s="71"/>
      <c r="KY7" s="71"/>
      <c r="KZ7" s="71"/>
      <c r="LA7" s="71"/>
      <c r="LB7" s="71"/>
      <c r="LC7" s="71"/>
      <c r="LD7" s="71"/>
      <c r="LE7" s="71"/>
      <c r="LF7" s="71"/>
      <c r="LG7" s="71"/>
      <c r="LH7" s="71"/>
      <c r="LI7" s="71"/>
      <c r="LJ7" s="71"/>
      <c r="LK7" s="71"/>
      <c r="LL7" s="71"/>
      <c r="LM7" s="71"/>
      <c r="LN7" s="71"/>
      <c r="LO7" s="71"/>
      <c r="LP7" s="71"/>
      <c r="LQ7" s="71"/>
      <c r="LR7" s="71"/>
      <c r="LS7" s="71"/>
      <c r="LT7" s="71"/>
      <c r="LU7" s="71"/>
      <c r="LV7" s="71"/>
      <c r="LW7" s="71"/>
      <c r="LX7" s="71"/>
      <c r="LY7" s="71"/>
      <c r="LZ7" s="71"/>
      <c r="MA7" s="71"/>
      <c r="MB7" s="71"/>
      <c r="MC7" s="71"/>
      <c r="MD7" s="71"/>
      <c r="ME7" s="71"/>
      <c r="MF7" s="71"/>
      <c r="MG7" s="71"/>
      <c r="MH7" s="71"/>
      <c r="MI7" s="71"/>
      <c r="MJ7" s="71"/>
      <c r="MK7" s="71"/>
      <c r="ML7" s="71"/>
      <c r="MM7" s="71"/>
      <c r="MN7" s="71"/>
      <c r="MO7" s="71"/>
      <c r="MP7" s="71"/>
      <c r="MQ7" s="71"/>
      <c r="MR7" s="71"/>
      <c r="MS7" s="71"/>
      <c r="MT7" s="71"/>
      <c r="MU7" s="71"/>
      <c r="MV7" s="71"/>
      <c r="MW7" s="71"/>
      <c r="MX7" s="71"/>
      <c r="MY7" s="71"/>
      <c r="MZ7" s="71"/>
      <c r="NA7" s="71"/>
      <c r="NB7" s="71"/>
      <c r="NC7" s="71"/>
      <c r="ND7" s="71"/>
      <c r="NE7" s="71"/>
    </row>
    <row r="8" spans="1:1061" hidden="1" x14ac:dyDescent="0.2">
      <c r="A8" s="5"/>
      <c r="B8" s="204"/>
      <c r="C8" s="70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1"/>
      <c r="DE8" s="71"/>
      <c r="DF8" s="71"/>
      <c r="DG8" s="71"/>
      <c r="DH8" s="71"/>
      <c r="DI8" s="71"/>
      <c r="DJ8" s="71"/>
      <c r="DK8" s="71"/>
      <c r="DL8" s="71"/>
      <c r="DM8" s="71"/>
      <c r="DN8" s="71"/>
      <c r="DO8" s="71"/>
      <c r="DP8" s="71"/>
      <c r="DQ8" s="71"/>
      <c r="DR8" s="71"/>
      <c r="DS8" s="71"/>
      <c r="DT8" s="71"/>
      <c r="DU8" s="71"/>
      <c r="DV8" s="71"/>
      <c r="DW8" s="71"/>
      <c r="DX8" s="71"/>
      <c r="DY8" s="71"/>
      <c r="DZ8" s="71"/>
      <c r="EA8" s="71"/>
      <c r="EB8" s="71"/>
      <c r="EC8" s="71"/>
      <c r="ED8" s="71"/>
      <c r="EE8" s="71"/>
      <c r="EF8" s="71"/>
      <c r="EG8" s="71"/>
      <c r="EH8" s="71"/>
      <c r="EI8" s="71"/>
      <c r="EJ8" s="71"/>
      <c r="EK8" s="71"/>
      <c r="EL8" s="71"/>
      <c r="EM8" s="71"/>
      <c r="EN8" s="71"/>
      <c r="EO8" s="71"/>
      <c r="EP8" s="71"/>
      <c r="EQ8" s="71"/>
      <c r="ER8" s="71"/>
      <c r="ES8" s="71"/>
      <c r="ET8" s="71"/>
      <c r="EU8" s="71"/>
      <c r="EV8" s="71"/>
      <c r="EW8" s="71"/>
      <c r="EX8" s="71"/>
      <c r="EY8" s="71"/>
      <c r="EZ8" s="71"/>
      <c r="FA8" s="71"/>
      <c r="FB8" s="71"/>
      <c r="FC8" s="71"/>
      <c r="FD8" s="71"/>
      <c r="FE8" s="71"/>
      <c r="FF8" s="71"/>
      <c r="FG8" s="71"/>
      <c r="FH8" s="71"/>
      <c r="FI8" s="71"/>
      <c r="FJ8" s="71"/>
      <c r="FK8" s="71"/>
      <c r="FL8" s="71"/>
      <c r="FM8" s="71"/>
      <c r="FN8" s="71"/>
      <c r="FO8" s="71"/>
      <c r="FP8" s="71"/>
      <c r="FQ8" s="71"/>
      <c r="FR8" s="71"/>
      <c r="FS8" s="71"/>
      <c r="FT8" s="71"/>
      <c r="FU8" s="71"/>
      <c r="FV8" s="71"/>
      <c r="FW8" s="71"/>
      <c r="FX8" s="71"/>
      <c r="FY8" s="71"/>
      <c r="FZ8" s="71"/>
      <c r="GA8" s="71"/>
      <c r="GB8" s="71"/>
      <c r="GC8" s="71"/>
      <c r="GD8" s="71"/>
      <c r="GE8" s="71"/>
      <c r="GF8" s="71"/>
      <c r="GG8" s="71"/>
      <c r="GH8" s="71"/>
      <c r="GI8" s="71"/>
      <c r="GJ8" s="71"/>
      <c r="GK8" s="71"/>
      <c r="GL8" s="71"/>
      <c r="GM8" s="71"/>
      <c r="GN8" s="71"/>
      <c r="GO8" s="71"/>
      <c r="GP8" s="71"/>
      <c r="GQ8" s="71"/>
      <c r="GR8" s="71"/>
      <c r="GS8" s="71"/>
      <c r="GT8" s="71"/>
      <c r="GU8" s="71"/>
      <c r="GV8" s="71"/>
      <c r="GW8" s="71"/>
      <c r="GX8" s="71"/>
      <c r="GY8" s="71"/>
      <c r="GZ8" s="71"/>
      <c r="HA8" s="71"/>
      <c r="HB8" s="71"/>
      <c r="HC8" s="71"/>
      <c r="HD8" s="71"/>
      <c r="HE8" s="71"/>
      <c r="HF8" s="71"/>
      <c r="HG8" s="71"/>
      <c r="HH8" s="71"/>
      <c r="HI8" s="71"/>
      <c r="HJ8" s="71"/>
      <c r="HK8" s="71"/>
      <c r="HL8" s="71"/>
      <c r="HM8" s="71"/>
      <c r="HN8" s="71"/>
      <c r="HO8" s="71"/>
      <c r="HP8" s="71"/>
      <c r="HQ8" s="71"/>
      <c r="HR8" s="71"/>
      <c r="HS8" s="71"/>
      <c r="HT8" s="71"/>
      <c r="HU8" s="71"/>
      <c r="HV8" s="71"/>
      <c r="HW8" s="71"/>
      <c r="HX8" s="71"/>
      <c r="HY8" s="71"/>
      <c r="HZ8" s="71"/>
      <c r="IA8" s="71"/>
      <c r="IB8" s="71"/>
      <c r="IC8" s="71"/>
      <c r="ID8" s="71"/>
      <c r="IE8" s="71"/>
      <c r="IF8" s="71"/>
      <c r="IG8" s="71"/>
      <c r="IH8" s="71"/>
      <c r="II8" s="71"/>
      <c r="IJ8" s="71"/>
      <c r="IK8" s="71"/>
      <c r="IL8" s="71"/>
      <c r="IM8" s="71"/>
      <c r="IN8" s="71"/>
      <c r="IO8" s="71"/>
      <c r="IP8" s="71"/>
      <c r="IQ8" s="71"/>
      <c r="IR8" s="71"/>
      <c r="IS8" s="71"/>
      <c r="IT8" s="71"/>
      <c r="IU8" s="71"/>
      <c r="IV8" s="71"/>
      <c r="IW8" s="71"/>
      <c r="IX8" s="71"/>
      <c r="IY8" s="71"/>
      <c r="IZ8" s="71"/>
      <c r="JA8" s="71"/>
      <c r="JB8" s="71"/>
      <c r="JC8" s="71"/>
      <c r="JD8" s="71"/>
      <c r="JE8" s="71"/>
      <c r="JF8" s="71"/>
      <c r="JG8" s="71"/>
      <c r="JH8" s="71"/>
      <c r="JI8" s="71"/>
      <c r="JJ8" s="71"/>
      <c r="JK8" s="71"/>
      <c r="JL8" s="71"/>
      <c r="JM8" s="71"/>
      <c r="JN8" s="71"/>
      <c r="JO8" s="71"/>
      <c r="JP8" s="71"/>
      <c r="JQ8" s="71"/>
      <c r="JR8" s="71"/>
      <c r="JS8" s="71"/>
      <c r="JT8" s="71"/>
      <c r="JU8" s="71"/>
      <c r="JV8" s="71"/>
      <c r="JW8" s="71"/>
      <c r="JX8" s="71"/>
      <c r="JY8" s="71"/>
      <c r="JZ8" s="71"/>
      <c r="KA8" s="71"/>
      <c r="KB8" s="71"/>
      <c r="KC8" s="71"/>
      <c r="KD8" s="71"/>
      <c r="KE8" s="71"/>
      <c r="KF8" s="71"/>
      <c r="KG8" s="71"/>
      <c r="KH8" s="71"/>
      <c r="KI8" s="71"/>
      <c r="KJ8" s="71"/>
      <c r="KK8" s="71"/>
      <c r="KL8" s="76"/>
      <c r="KM8" s="71"/>
      <c r="KN8" s="71"/>
      <c r="KO8" s="71"/>
      <c r="KP8" s="71"/>
      <c r="KQ8" s="71"/>
      <c r="KR8" s="71"/>
      <c r="KS8" s="71"/>
      <c r="KT8" s="71"/>
      <c r="KU8" s="71"/>
      <c r="KV8" s="71"/>
      <c r="KW8" s="71"/>
      <c r="KX8" s="71"/>
      <c r="KY8" s="71"/>
      <c r="KZ8" s="71"/>
      <c r="LA8" s="71"/>
      <c r="LB8" s="71"/>
      <c r="LC8" s="71"/>
      <c r="LD8" s="71"/>
      <c r="LE8" s="71"/>
      <c r="LF8" s="71"/>
      <c r="LG8" s="71"/>
      <c r="LH8" s="71"/>
      <c r="LI8" s="71"/>
      <c r="LJ8" s="71"/>
      <c r="LK8" s="71"/>
      <c r="LL8" s="71"/>
      <c r="LM8" s="71"/>
      <c r="LN8" s="71"/>
      <c r="LO8" s="71"/>
      <c r="LP8" s="71"/>
      <c r="LQ8" s="71"/>
      <c r="LR8" s="71"/>
      <c r="LS8" s="71"/>
      <c r="LT8" s="71"/>
      <c r="LU8" s="71"/>
      <c r="LV8" s="71"/>
      <c r="LW8" s="71"/>
      <c r="LX8" s="71"/>
      <c r="LY8" s="71"/>
      <c r="LZ8" s="71"/>
      <c r="MA8" s="71"/>
      <c r="MB8" s="71"/>
      <c r="MC8" s="71"/>
      <c r="MD8" s="71"/>
      <c r="ME8" s="71"/>
      <c r="MF8" s="71"/>
      <c r="MG8" s="71"/>
      <c r="MH8" s="71"/>
      <c r="MI8" s="71"/>
      <c r="MJ8" s="71"/>
      <c r="MK8" s="71"/>
      <c r="ML8" s="71"/>
      <c r="MM8" s="71"/>
      <c r="MN8" s="71"/>
      <c r="MO8" s="71"/>
      <c r="MP8" s="71"/>
      <c r="MQ8" s="71"/>
      <c r="MR8" s="71"/>
      <c r="MS8" s="71"/>
      <c r="MT8" s="71"/>
      <c r="MU8" s="71"/>
      <c r="MV8" s="71"/>
      <c r="MW8" s="71"/>
      <c r="MX8" s="71"/>
      <c r="MY8" s="71"/>
      <c r="MZ8" s="71"/>
      <c r="NA8" s="71"/>
      <c r="NB8" s="71"/>
      <c r="NC8" s="71"/>
      <c r="ND8" s="71"/>
      <c r="NE8" s="71"/>
    </row>
    <row r="9" spans="1:1061" x14ac:dyDescent="0.2">
      <c r="A9" s="7" t="s">
        <v>3</v>
      </c>
      <c r="B9" s="72"/>
      <c r="C9" s="72"/>
      <c r="D9" s="72">
        <v>1448</v>
      </c>
      <c r="E9" s="72"/>
      <c r="F9" s="72"/>
      <c r="G9" s="72"/>
      <c r="H9" s="72"/>
      <c r="I9" s="72"/>
      <c r="J9" s="221">
        <v>1892</v>
      </c>
      <c r="K9" s="221">
        <v>2101</v>
      </c>
      <c r="L9" s="221">
        <v>2174</v>
      </c>
      <c r="M9" s="221">
        <v>2026</v>
      </c>
      <c r="N9" s="221">
        <v>1194</v>
      </c>
      <c r="O9" s="72"/>
      <c r="P9" s="72"/>
      <c r="Q9" s="221">
        <v>1810</v>
      </c>
      <c r="R9" s="221">
        <v>1819</v>
      </c>
      <c r="S9" s="221">
        <v>1978</v>
      </c>
      <c r="T9" s="221">
        <v>1730</v>
      </c>
      <c r="U9" s="221">
        <v>1304</v>
      </c>
      <c r="V9" s="72"/>
      <c r="W9" s="72"/>
      <c r="X9" s="221">
        <v>1550</v>
      </c>
      <c r="Y9" s="221">
        <v>1718</v>
      </c>
      <c r="Z9" s="223">
        <v>1551</v>
      </c>
      <c r="AA9" s="223">
        <v>670</v>
      </c>
      <c r="AB9" s="223">
        <v>1072</v>
      </c>
      <c r="AC9" s="72"/>
      <c r="AD9" s="72"/>
      <c r="AE9" s="223">
        <v>1500</v>
      </c>
      <c r="AF9" s="223">
        <v>1450</v>
      </c>
      <c r="AG9" s="223">
        <v>1000</v>
      </c>
      <c r="AH9" s="223">
        <v>1065</v>
      </c>
      <c r="AI9" s="223">
        <v>1100</v>
      </c>
      <c r="AJ9" s="72"/>
      <c r="AK9" s="72"/>
      <c r="AL9" s="223">
        <v>615</v>
      </c>
      <c r="AM9" s="223">
        <v>1389</v>
      </c>
      <c r="AN9" s="223">
        <v>1223</v>
      </c>
      <c r="AO9" s="223">
        <v>1025</v>
      </c>
      <c r="AP9" s="223">
        <v>1650</v>
      </c>
      <c r="AQ9" s="72"/>
      <c r="AR9" s="72"/>
      <c r="AS9" s="223">
        <v>400</v>
      </c>
      <c r="AT9" s="223">
        <v>1394</v>
      </c>
      <c r="AU9" s="223">
        <v>570</v>
      </c>
      <c r="AV9" s="223">
        <v>1285</v>
      </c>
      <c r="AW9" s="223">
        <v>660</v>
      </c>
      <c r="AX9" s="72"/>
      <c r="AY9" s="72"/>
      <c r="AZ9" s="223">
        <v>300</v>
      </c>
      <c r="BA9" s="223">
        <v>869</v>
      </c>
      <c r="BB9" s="223">
        <v>271</v>
      </c>
      <c r="BC9" s="223">
        <v>813</v>
      </c>
      <c r="BD9" s="223">
        <v>1006</v>
      </c>
      <c r="BE9" s="72"/>
      <c r="BF9" s="72"/>
      <c r="BG9" s="72"/>
      <c r="BH9" s="238">
        <v>1500</v>
      </c>
      <c r="BI9" s="238">
        <v>1400</v>
      </c>
      <c r="BJ9" s="238">
        <v>1207</v>
      </c>
      <c r="BK9" s="238">
        <v>760</v>
      </c>
      <c r="BL9" s="72"/>
      <c r="BM9" s="72"/>
      <c r="BN9" s="72"/>
      <c r="BO9" s="238">
        <v>2126</v>
      </c>
      <c r="BP9" s="72"/>
      <c r="BQ9" s="223">
        <v>1230</v>
      </c>
      <c r="BR9" s="223">
        <v>1200</v>
      </c>
      <c r="BS9" s="72"/>
      <c r="BT9" s="72"/>
      <c r="BU9" s="238">
        <v>1200</v>
      </c>
      <c r="BV9" s="238">
        <v>890</v>
      </c>
      <c r="BW9" s="238">
        <v>1100</v>
      </c>
      <c r="BX9" s="239"/>
      <c r="BY9" s="238">
        <v>1200</v>
      </c>
      <c r="BZ9" s="72"/>
      <c r="CA9" s="72"/>
      <c r="CB9" s="238">
        <v>400</v>
      </c>
      <c r="CC9" s="238">
        <v>1100</v>
      </c>
      <c r="CD9" s="238">
        <v>572</v>
      </c>
      <c r="CE9" s="238">
        <v>1870</v>
      </c>
      <c r="CF9" s="72"/>
      <c r="CG9" s="72"/>
      <c r="CH9" s="72"/>
      <c r="CI9" s="241">
        <v>704</v>
      </c>
      <c r="CJ9" s="238">
        <v>1182</v>
      </c>
      <c r="CK9" s="238"/>
      <c r="CL9" s="238">
        <v>1373</v>
      </c>
      <c r="CM9" s="239"/>
      <c r="CN9" s="72"/>
      <c r="CO9" s="72"/>
      <c r="CP9" s="72">
        <v>1165</v>
      </c>
      <c r="CQ9" s="72"/>
      <c r="CR9" s="72">
        <v>1510</v>
      </c>
      <c r="CS9" s="72">
        <v>1014</v>
      </c>
      <c r="CT9" s="72"/>
      <c r="CU9" s="72"/>
      <c r="CV9" s="72"/>
      <c r="CW9" s="72">
        <v>701</v>
      </c>
      <c r="CX9" s="72">
        <v>1100</v>
      </c>
      <c r="CY9" s="72"/>
      <c r="CZ9" s="72">
        <v>1338</v>
      </c>
      <c r="DA9" s="72">
        <v>436</v>
      </c>
      <c r="DB9" s="72"/>
      <c r="DC9" s="72"/>
      <c r="DD9" s="72"/>
      <c r="DE9" s="72">
        <v>1076</v>
      </c>
      <c r="DF9" s="72"/>
      <c r="DG9" s="72">
        <v>846</v>
      </c>
      <c r="DH9" s="72">
        <v>320</v>
      </c>
      <c r="DI9" s="72"/>
      <c r="DJ9" s="72"/>
      <c r="DK9" s="72">
        <v>290</v>
      </c>
      <c r="DL9" s="72"/>
      <c r="DM9" s="72">
        <v>830</v>
      </c>
      <c r="DN9" s="72"/>
      <c r="DO9" s="72"/>
      <c r="DP9" s="72"/>
      <c r="DQ9" s="72"/>
      <c r="DR9" s="72">
        <v>440</v>
      </c>
      <c r="DS9" s="72"/>
      <c r="DT9" s="72">
        <v>469</v>
      </c>
      <c r="DU9" s="72"/>
      <c r="DV9" s="72"/>
      <c r="DW9" s="72"/>
      <c r="DX9" s="72"/>
      <c r="DY9" s="72">
        <v>195</v>
      </c>
      <c r="DZ9" s="72"/>
      <c r="EA9" s="72">
        <v>432</v>
      </c>
      <c r="EB9" s="72"/>
      <c r="EC9" s="72">
        <v>435</v>
      </c>
      <c r="ED9" s="72"/>
      <c r="EE9" s="72"/>
      <c r="EF9" s="72"/>
      <c r="EG9" s="72">
        <v>413</v>
      </c>
      <c r="EH9" s="72"/>
      <c r="EI9" s="72"/>
      <c r="EJ9" s="72">
        <v>516</v>
      </c>
      <c r="EK9" s="72"/>
      <c r="EL9" s="72"/>
      <c r="EM9" s="72">
        <v>467</v>
      </c>
      <c r="EN9" s="72"/>
      <c r="EO9" s="72">
        <v>579</v>
      </c>
      <c r="EP9" s="72"/>
      <c r="EQ9" s="72"/>
      <c r="ER9" s="72"/>
      <c r="ES9" s="72"/>
      <c r="ET9" s="72">
        <v>755</v>
      </c>
      <c r="EU9" s="72"/>
      <c r="EV9" s="72">
        <v>503</v>
      </c>
      <c r="EW9" s="72"/>
      <c r="EX9" s="72">
        <v>812</v>
      </c>
      <c r="EY9" s="72"/>
      <c r="EZ9" s="72"/>
      <c r="FA9" s="72">
        <v>798</v>
      </c>
      <c r="FB9" s="72"/>
      <c r="FC9" s="72">
        <v>934</v>
      </c>
      <c r="FD9" s="72">
        <v>849</v>
      </c>
      <c r="FE9" s="72"/>
      <c r="FF9" s="72"/>
      <c r="FG9" s="72"/>
      <c r="FH9" s="72">
        <v>1000</v>
      </c>
      <c r="FI9" s="255">
        <v>445</v>
      </c>
      <c r="FJ9" s="72">
        <v>1159</v>
      </c>
      <c r="FK9" s="72">
        <v>846</v>
      </c>
      <c r="FL9" s="72"/>
      <c r="FM9" s="72"/>
      <c r="FN9" s="72"/>
      <c r="FO9" s="72"/>
      <c r="FP9" s="72"/>
      <c r="FQ9" s="72"/>
      <c r="FR9" s="72"/>
      <c r="FS9" s="72"/>
      <c r="FT9" s="72"/>
      <c r="FU9" s="72"/>
      <c r="FV9" s="72"/>
      <c r="FW9" s="72"/>
      <c r="FX9" s="72"/>
      <c r="FY9" s="72"/>
      <c r="FZ9" s="72"/>
      <c r="GA9" s="72"/>
      <c r="GB9" s="72"/>
      <c r="GC9" s="72"/>
      <c r="GD9" s="72"/>
      <c r="GE9" s="72"/>
      <c r="GF9" s="72"/>
      <c r="GG9" s="72"/>
      <c r="GH9" s="72"/>
      <c r="GI9" s="72"/>
      <c r="GJ9" s="72"/>
      <c r="GK9" s="72"/>
      <c r="GL9" s="72"/>
      <c r="GM9" s="72"/>
      <c r="GN9" s="72"/>
      <c r="GO9" s="72"/>
      <c r="GP9" s="72"/>
      <c r="GQ9" s="72"/>
      <c r="GR9" s="72"/>
      <c r="GS9" s="72"/>
      <c r="GT9" s="72"/>
      <c r="GU9" s="72"/>
      <c r="GV9" s="72"/>
      <c r="GW9" s="72"/>
      <c r="GX9" s="72"/>
      <c r="GY9" s="72"/>
      <c r="GZ9" s="72"/>
      <c r="HA9" s="72"/>
      <c r="HB9" s="72"/>
      <c r="HC9" s="72"/>
      <c r="HD9" s="72"/>
      <c r="HE9" s="72"/>
      <c r="HF9" s="72"/>
      <c r="HG9" s="72"/>
      <c r="HH9" s="72"/>
      <c r="HI9" s="72"/>
      <c r="HJ9" s="72"/>
      <c r="HK9" s="72"/>
      <c r="HL9" s="72"/>
      <c r="HM9" s="72"/>
      <c r="HN9" s="72"/>
      <c r="HO9" s="72"/>
      <c r="HP9" s="72"/>
      <c r="HQ9" s="72"/>
      <c r="HR9" s="72"/>
      <c r="HS9" s="72"/>
      <c r="HT9" s="72"/>
      <c r="HU9" s="72"/>
      <c r="HV9" s="72"/>
      <c r="HW9" s="72"/>
      <c r="HX9" s="72"/>
      <c r="HY9" s="72"/>
      <c r="HZ9" s="72"/>
      <c r="IA9" s="72"/>
      <c r="IB9" s="72"/>
      <c r="IC9" s="72"/>
      <c r="ID9" s="72"/>
      <c r="IE9" s="72"/>
      <c r="IF9" s="72"/>
      <c r="IG9" s="72"/>
      <c r="IH9" s="72"/>
      <c r="II9" s="72"/>
      <c r="IJ9" s="72"/>
      <c r="IK9" s="72"/>
      <c r="IL9" s="72"/>
      <c r="IM9" s="72"/>
      <c r="IN9" s="72"/>
      <c r="IO9" s="72"/>
      <c r="IP9" s="72"/>
      <c r="IQ9" s="72"/>
      <c r="IR9" s="72"/>
      <c r="IS9" s="72"/>
      <c r="IT9" s="72"/>
      <c r="IU9" s="72"/>
      <c r="IV9" s="72"/>
      <c r="IW9" s="72"/>
      <c r="IX9" s="72"/>
      <c r="IY9" s="72"/>
      <c r="IZ9" s="72"/>
      <c r="JA9" s="72"/>
      <c r="JB9" s="72"/>
      <c r="JC9" s="72"/>
      <c r="JD9" s="72"/>
      <c r="JE9" s="72"/>
      <c r="JF9" s="72"/>
      <c r="JG9" s="72"/>
      <c r="JH9" s="72"/>
      <c r="JI9" s="72"/>
      <c r="JJ9" s="72"/>
      <c r="JK9" s="72"/>
      <c r="JL9" s="72"/>
      <c r="JM9" s="72"/>
      <c r="JN9" s="72"/>
      <c r="JO9" s="72"/>
      <c r="JP9" s="72"/>
      <c r="JQ9" s="72"/>
      <c r="JR9" s="72"/>
      <c r="JS9" s="72"/>
      <c r="JT9" s="72"/>
      <c r="JU9" s="72"/>
      <c r="JV9" s="72"/>
      <c r="JW9" s="72"/>
      <c r="JX9" s="72"/>
      <c r="JY9" s="72"/>
      <c r="JZ9" s="72"/>
      <c r="KA9" s="72"/>
      <c r="KB9" s="72"/>
      <c r="KC9" s="72"/>
      <c r="KD9" s="72"/>
      <c r="KE9" s="72"/>
      <c r="KF9" s="72"/>
      <c r="KG9" s="72"/>
      <c r="KH9" s="72"/>
      <c r="KI9" s="72"/>
      <c r="KJ9" s="72"/>
      <c r="KK9" s="72"/>
      <c r="KL9" s="96"/>
      <c r="KM9" s="72"/>
      <c r="KN9" s="72"/>
      <c r="KO9" s="72"/>
      <c r="KP9" s="72"/>
      <c r="KQ9" s="72"/>
      <c r="KR9" s="72"/>
      <c r="KS9" s="72"/>
      <c r="KT9" s="72"/>
      <c r="KU9" s="72"/>
      <c r="KV9" s="72"/>
      <c r="KW9" s="72"/>
      <c r="KX9" s="72"/>
      <c r="KY9" s="72"/>
      <c r="KZ9" s="71"/>
      <c r="LA9" s="72"/>
      <c r="LB9" s="72"/>
      <c r="LC9" s="72"/>
      <c r="LD9" s="72"/>
      <c r="LE9" s="72"/>
      <c r="LF9" s="72"/>
      <c r="LG9" s="72"/>
      <c r="LH9" s="72"/>
      <c r="LI9" s="72"/>
      <c r="LJ9" s="72"/>
      <c r="LK9" s="72"/>
      <c r="LL9" s="72"/>
      <c r="LM9" s="72"/>
      <c r="LN9" s="72"/>
      <c r="LO9" s="72"/>
      <c r="LP9" s="72"/>
      <c r="LQ9" s="72"/>
      <c r="LR9" s="72"/>
      <c r="LS9" s="72"/>
      <c r="LT9" s="72"/>
      <c r="LU9" s="72"/>
      <c r="LV9" s="72"/>
      <c r="LW9" s="72"/>
      <c r="LX9" s="72"/>
      <c r="LY9" s="72"/>
      <c r="LZ9" s="72"/>
      <c r="MA9" s="72"/>
      <c r="MB9" s="72"/>
      <c r="MC9" s="72"/>
      <c r="MD9" s="72"/>
      <c r="ME9" s="72"/>
      <c r="MF9" s="72"/>
      <c r="MG9" s="72"/>
      <c r="MH9" s="72"/>
      <c r="MI9" s="72"/>
      <c r="MJ9" s="72"/>
      <c r="MK9" s="72"/>
      <c r="ML9" s="72"/>
      <c r="MM9" s="72"/>
      <c r="MN9" s="72"/>
      <c r="MO9" s="72"/>
      <c r="MP9" s="72"/>
      <c r="MQ9" s="72"/>
      <c r="MR9" s="72"/>
      <c r="MS9" s="72"/>
      <c r="MT9" s="72"/>
      <c r="MU9" s="72"/>
      <c r="MV9" s="72"/>
      <c r="MW9" s="72"/>
      <c r="MX9" s="72"/>
      <c r="MY9" s="72"/>
      <c r="MZ9" s="72"/>
      <c r="NA9" s="72"/>
      <c r="NB9" s="72"/>
      <c r="NC9" s="72"/>
      <c r="ND9" s="72"/>
      <c r="NE9" s="72"/>
    </row>
    <row r="10" spans="1:1061" x14ac:dyDescent="0.2">
      <c r="A10" s="7" t="s">
        <v>4</v>
      </c>
      <c r="B10" s="206"/>
      <c r="C10" s="70"/>
      <c r="D10" s="72">
        <v>78</v>
      </c>
      <c r="E10" s="72"/>
      <c r="F10" s="72"/>
      <c r="G10" s="72"/>
      <c r="H10" s="72"/>
      <c r="I10" s="72"/>
      <c r="J10" s="72">
        <v>48</v>
      </c>
      <c r="K10" s="72">
        <v>67</v>
      </c>
      <c r="L10" s="72">
        <v>38</v>
      </c>
      <c r="M10" s="72">
        <v>97</v>
      </c>
      <c r="N10" s="72">
        <v>88</v>
      </c>
      <c r="O10" s="72"/>
      <c r="P10" s="72"/>
      <c r="Q10" s="72">
        <v>78</v>
      </c>
      <c r="R10" s="72">
        <v>24</v>
      </c>
      <c r="S10" s="72">
        <v>18</v>
      </c>
      <c r="T10" s="72">
        <v>28</v>
      </c>
      <c r="U10" s="72">
        <v>65</v>
      </c>
      <c r="V10" s="72"/>
      <c r="W10" s="72"/>
      <c r="X10" s="72">
        <v>95</v>
      </c>
      <c r="Y10" s="72">
        <v>22</v>
      </c>
      <c r="Z10" s="72">
        <v>7</v>
      </c>
      <c r="AA10" s="72">
        <v>73</v>
      </c>
      <c r="AB10" s="72">
        <v>16</v>
      </c>
      <c r="AC10" s="72"/>
      <c r="AD10" s="72"/>
      <c r="AE10" s="72">
        <v>74</v>
      </c>
      <c r="AF10" s="72">
        <v>32</v>
      </c>
      <c r="AG10" s="72">
        <v>15</v>
      </c>
      <c r="AH10" s="72"/>
      <c r="AI10" s="72">
        <v>55</v>
      </c>
      <c r="AJ10" s="72"/>
      <c r="AK10" s="72"/>
      <c r="AL10" s="72"/>
      <c r="AM10" s="72"/>
      <c r="AN10" s="72"/>
      <c r="AO10" s="72">
        <v>29</v>
      </c>
      <c r="AP10" s="72">
        <v>74</v>
      </c>
      <c r="AQ10" s="72"/>
      <c r="AR10" s="72"/>
      <c r="AS10" s="72">
        <v>30</v>
      </c>
      <c r="AT10" s="72"/>
      <c r="AU10" s="72"/>
      <c r="AV10" s="72"/>
      <c r="AW10" s="72"/>
      <c r="AX10" s="72"/>
      <c r="AY10" s="72"/>
      <c r="AZ10" s="72">
        <v>24</v>
      </c>
      <c r="BA10" s="72"/>
      <c r="BB10" s="72"/>
      <c r="BC10" s="72"/>
      <c r="BD10" s="72">
        <v>12</v>
      </c>
      <c r="BE10" s="72"/>
      <c r="BF10" s="72"/>
      <c r="BG10" s="72"/>
      <c r="BH10" s="72"/>
      <c r="BI10" s="72">
        <v>15</v>
      </c>
      <c r="BJ10" s="72">
        <v>45</v>
      </c>
      <c r="BK10" s="72">
        <v>25</v>
      </c>
      <c r="BL10" s="72"/>
      <c r="BM10" s="72"/>
      <c r="BN10" s="72"/>
      <c r="BO10" s="72"/>
      <c r="BP10" s="72"/>
      <c r="BQ10" s="72"/>
      <c r="BR10" s="72"/>
      <c r="BS10" s="72"/>
      <c r="BT10" s="72"/>
      <c r="BU10" s="72">
        <v>55</v>
      </c>
      <c r="BV10" s="72"/>
      <c r="BW10" s="72"/>
      <c r="BX10" s="72"/>
      <c r="BY10" s="72"/>
      <c r="BZ10" s="72"/>
      <c r="CA10" s="72"/>
      <c r="CB10" s="72">
        <v>28</v>
      </c>
      <c r="CC10" s="72"/>
      <c r="CD10" s="72"/>
      <c r="CE10" s="72">
        <v>14</v>
      </c>
      <c r="CF10" s="72"/>
      <c r="CG10" s="72"/>
      <c r="CH10" s="72"/>
      <c r="CI10" s="72"/>
      <c r="CJ10" s="72"/>
      <c r="CK10" s="72"/>
      <c r="CL10" s="72"/>
      <c r="CM10" s="239"/>
      <c r="CN10" s="72"/>
      <c r="CO10" s="72"/>
      <c r="CP10" s="72"/>
      <c r="CQ10" s="72"/>
      <c r="CR10" s="72"/>
      <c r="CS10" s="72"/>
      <c r="CT10" s="72"/>
      <c r="CU10" s="72"/>
      <c r="CV10" s="72"/>
      <c r="CW10" s="72"/>
      <c r="CX10" s="72"/>
      <c r="CY10" s="72"/>
      <c r="CZ10" s="72"/>
      <c r="DA10" s="72"/>
      <c r="DB10" s="72"/>
      <c r="DC10" s="72"/>
      <c r="DD10" s="72"/>
      <c r="DE10" s="72"/>
      <c r="DF10" s="72"/>
      <c r="DG10" s="72"/>
      <c r="DH10" s="72"/>
      <c r="DI10" s="72"/>
      <c r="DJ10" s="72"/>
      <c r="DK10" s="72">
        <v>5</v>
      </c>
      <c r="DL10" s="72"/>
      <c r="DM10" s="72">
        <v>7</v>
      </c>
      <c r="DN10" s="72"/>
      <c r="DO10" s="72"/>
      <c r="DP10" s="72"/>
      <c r="DQ10" s="72"/>
      <c r="DR10" s="72"/>
      <c r="DS10" s="72"/>
      <c r="DT10" s="72"/>
      <c r="DU10" s="72"/>
      <c r="DV10" s="72"/>
      <c r="DW10" s="72"/>
      <c r="DX10" s="72"/>
      <c r="DY10" s="72"/>
      <c r="DZ10" s="72"/>
      <c r="EA10" s="72"/>
      <c r="EB10" s="72"/>
      <c r="EC10" s="72">
        <v>8</v>
      </c>
      <c r="ED10" s="72"/>
      <c r="EE10" s="72"/>
      <c r="EF10" s="72"/>
      <c r="EG10" s="72"/>
      <c r="EH10" s="72"/>
      <c r="EI10" s="72"/>
      <c r="EJ10" s="72">
        <v>10</v>
      </c>
      <c r="EK10" s="72"/>
      <c r="EL10" s="72"/>
      <c r="EM10" s="72">
        <v>16</v>
      </c>
      <c r="EN10" s="72"/>
      <c r="EO10" s="72"/>
      <c r="EP10" s="72"/>
      <c r="EQ10" s="72"/>
      <c r="ER10" s="72"/>
      <c r="ES10" s="72"/>
      <c r="ET10" s="72">
        <v>11</v>
      </c>
      <c r="EU10" s="72"/>
      <c r="EV10" s="72"/>
      <c r="EW10" s="72"/>
      <c r="EX10" s="72">
        <v>3</v>
      </c>
      <c r="EY10" s="72"/>
      <c r="EZ10" s="72"/>
      <c r="FA10" s="72">
        <v>34</v>
      </c>
      <c r="FB10" s="72"/>
      <c r="FC10" s="72"/>
      <c r="FD10" s="72"/>
      <c r="FE10" s="72"/>
      <c r="FF10" s="72"/>
      <c r="FG10" s="72"/>
      <c r="FH10" s="72">
        <v>21</v>
      </c>
      <c r="FI10" s="255">
        <v>9</v>
      </c>
      <c r="FJ10" s="72"/>
      <c r="FK10" s="72">
        <v>5</v>
      </c>
      <c r="FL10" s="72"/>
      <c r="FM10" s="72"/>
      <c r="FN10" s="72"/>
      <c r="FO10" s="72"/>
      <c r="FP10" s="72"/>
      <c r="FQ10" s="72"/>
      <c r="FR10" s="72"/>
      <c r="FS10" s="72"/>
      <c r="FT10" s="72"/>
      <c r="FU10" s="72"/>
      <c r="FV10" s="72"/>
      <c r="FW10" s="72"/>
      <c r="FX10" s="72"/>
      <c r="FY10" s="72"/>
      <c r="FZ10" s="72"/>
      <c r="GA10" s="72"/>
      <c r="GB10" s="72"/>
      <c r="GC10" s="72"/>
      <c r="GD10" s="72"/>
      <c r="GE10" s="72"/>
      <c r="GF10" s="72"/>
      <c r="GG10" s="72"/>
      <c r="GH10" s="72"/>
      <c r="GI10" s="72"/>
      <c r="GJ10" s="72"/>
      <c r="GK10" s="72"/>
      <c r="GL10" s="72"/>
      <c r="GM10" s="72"/>
      <c r="GN10" s="72"/>
      <c r="GO10" s="72"/>
      <c r="GP10" s="72"/>
      <c r="GQ10" s="72"/>
      <c r="GR10" s="72"/>
      <c r="GS10" s="72"/>
      <c r="GT10" s="72"/>
      <c r="GU10" s="72"/>
      <c r="GV10" s="72"/>
      <c r="GW10" s="72"/>
      <c r="GX10" s="72"/>
      <c r="GY10" s="72"/>
      <c r="GZ10" s="72"/>
      <c r="HA10" s="72"/>
      <c r="HB10" s="72"/>
      <c r="HC10" s="72"/>
      <c r="HD10" s="72"/>
      <c r="HE10" s="72"/>
      <c r="HF10" s="72"/>
      <c r="HG10" s="72"/>
      <c r="HH10" s="72"/>
      <c r="HI10" s="72"/>
      <c r="HJ10" s="72"/>
      <c r="HK10" s="72"/>
      <c r="HL10" s="72"/>
      <c r="HM10" s="72"/>
      <c r="HN10" s="72"/>
      <c r="HO10" s="72"/>
      <c r="HP10" s="72"/>
      <c r="HQ10" s="72"/>
      <c r="HR10" s="72"/>
      <c r="HS10" s="72"/>
      <c r="HT10" s="72"/>
      <c r="HU10" s="72"/>
      <c r="HV10" s="72"/>
      <c r="HW10" s="72"/>
      <c r="HX10" s="72"/>
      <c r="HY10" s="72"/>
      <c r="HZ10" s="72"/>
      <c r="IA10" s="72"/>
      <c r="IB10" s="72"/>
      <c r="IC10" s="72"/>
      <c r="ID10" s="72"/>
      <c r="IE10" s="72"/>
      <c r="IF10" s="72"/>
      <c r="IG10" s="72"/>
      <c r="IH10" s="72"/>
      <c r="II10" s="72"/>
      <c r="IJ10" s="72"/>
      <c r="IK10" s="72"/>
      <c r="IL10" s="72"/>
      <c r="IM10" s="72"/>
      <c r="IN10" s="72"/>
      <c r="IO10" s="72"/>
      <c r="IP10" s="72"/>
      <c r="IQ10" s="72"/>
      <c r="IR10" s="72"/>
      <c r="IS10" s="72"/>
      <c r="IT10" s="72"/>
      <c r="IU10" s="72"/>
      <c r="IV10" s="72"/>
      <c r="IW10" s="72"/>
      <c r="IX10" s="72"/>
      <c r="IY10" s="72"/>
      <c r="IZ10" s="72"/>
      <c r="JA10" s="72"/>
      <c r="JB10" s="72"/>
      <c r="JC10" s="72"/>
      <c r="JD10" s="72"/>
      <c r="JE10" s="72"/>
      <c r="JF10" s="72"/>
      <c r="JG10" s="72"/>
      <c r="JH10" s="72"/>
      <c r="JI10" s="72"/>
      <c r="JJ10" s="72"/>
      <c r="JK10" s="72"/>
      <c r="JL10" s="72"/>
      <c r="JM10" s="72"/>
      <c r="JN10" s="72"/>
      <c r="JO10" s="72"/>
      <c r="JP10" s="72"/>
      <c r="JQ10" s="72"/>
      <c r="JR10" s="72"/>
      <c r="JS10" s="72"/>
      <c r="JT10" s="72"/>
      <c r="JU10" s="72"/>
      <c r="JV10" s="72"/>
      <c r="JW10" s="72"/>
      <c r="JX10" s="72"/>
      <c r="JY10" s="72"/>
      <c r="JZ10" s="72"/>
      <c r="KA10" s="72"/>
      <c r="KB10" s="72"/>
      <c r="KC10" s="72"/>
      <c r="KD10" s="72"/>
      <c r="KE10" s="72"/>
      <c r="KF10" s="72"/>
      <c r="KG10" s="72"/>
      <c r="KH10" s="72"/>
      <c r="KI10" s="72"/>
      <c r="KJ10" s="72"/>
      <c r="KK10" s="72"/>
      <c r="KL10" s="72"/>
      <c r="KM10" s="72"/>
      <c r="KN10" s="72"/>
      <c r="KO10" s="72"/>
      <c r="KP10" s="72"/>
      <c r="KQ10" s="72"/>
      <c r="KR10" s="72"/>
      <c r="KS10" s="72"/>
      <c r="KT10" s="72"/>
      <c r="KU10" s="72"/>
      <c r="KV10" s="72"/>
      <c r="KW10" s="72"/>
      <c r="KX10" s="72"/>
      <c r="KY10" s="72"/>
      <c r="KZ10" s="71"/>
      <c r="LA10" s="72"/>
      <c r="LB10" s="72"/>
      <c r="LC10" s="72"/>
      <c r="LD10" s="72"/>
      <c r="LE10" s="72"/>
      <c r="LF10" s="72"/>
      <c r="LG10" s="72"/>
      <c r="LH10" s="72"/>
      <c r="LI10" s="72"/>
      <c r="LJ10" s="72"/>
      <c r="LK10" s="72"/>
      <c r="LL10" s="72"/>
      <c r="LM10" s="72"/>
      <c r="LN10" s="72"/>
      <c r="LO10" s="72"/>
      <c r="LP10" s="72"/>
      <c r="LQ10" s="72"/>
      <c r="LR10" s="72"/>
      <c r="LS10" s="72"/>
      <c r="LT10" s="72"/>
      <c r="LU10" s="72"/>
      <c r="LV10" s="72"/>
      <c r="LW10" s="72"/>
      <c r="LX10" s="72"/>
      <c r="LY10" s="72"/>
      <c r="LZ10" s="72"/>
      <c r="MA10" s="72"/>
      <c r="MB10" s="72"/>
      <c r="MC10" s="72"/>
      <c r="MD10" s="72"/>
      <c r="ME10" s="72"/>
      <c r="MF10" s="72"/>
      <c r="MG10" s="72"/>
      <c r="MH10" s="72"/>
      <c r="MI10" s="72"/>
      <c r="MJ10" s="72"/>
      <c r="MK10" s="72"/>
      <c r="ML10" s="72"/>
      <c r="MM10" s="72"/>
      <c r="MN10" s="72"/>
      <c r="MO10" s="72"/>
      <c r="MP10" s="72"/>
      <c r="MQ10" s="72"/>
      <c r="MR10" s="72"/>
      <c r="MS10" s="72"/>
      <c r="MT10" s="72"/>
      <c r="MU10" s="72"/>
      <c r="MV10" s="72"/>
      <c r="MW10" s="72"/>
      <c r="MX10" s="72"/>
      <c r="MY10" s="72"/>
      <c r="MZ10" s="72"/>
      <c r="NA10" s="72"/>
      <c r="NB10" s="72"/>
      <c r="NC10" s="72"/>
      <c r="ND10" s="72"/>
      <c r="NE10" s="72"/>
    </row>
    <row r="11" spans="1:1061" ht="16" thickBot="1" x14ac:dyDescent="0.25">
      <c r="A11" s="6" t="s">
        <v>5</v>
      </c>
      <c r="B11" s="207"/>
      <c r="C11" s="73"/>
      <c r="D11" s="74"/>
      <c r="E11" s="74"/>
      <c r="F11" s="74"/>
      <c r="G11" s="74"/>
      <c r="H11" s="74"/>
      <c r="I11" s="74"/>
      <c r="J11" s="74">
        <v>0</v>
      </c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>
        <v>0</v>
      </c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>
        <v>0</v>
      </c>
      <c r="BH11" s="74"/>
      <c r="BI11" s="74"/>
      <c r="BJ11" s="74"/>
      <c r="BK11" s="74"/>
      <c r="BL11" s="74"/>
      <c r="BM11" s="74"/>
      <c r="BN11" s="74"/>
      <c r="BO11" s="74">
        <v>13</v>
      </c>
      <c r="BP11" s="74"/>
      <c r="BQ11" s="74">
        <v>51</v>
      </c>
      <c r="BR11" s="74">
        <v>10</v>
      </c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250"/>
      <c r="CK11" s="74"/>
      <c r="CL11" s="74"/>
      <c r="CM11" s="74"/>
      <c r="CN11" s="74"/>
      <c r="CO11" s="74"/>
      <c r="CP11" s="74">
        <v>0</v>
      </c>
      <c r="CQ11" s="74"/>
      <c r="CR11" s="74"/>
      <c r="CS11" s="74"/>
      <c r="CT11" s="74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  <c r="DK11" s="74"/>
      <c r="DL11" s="74"/>
      <c r="DM11" s="74"/>
      <c r="DN11" s="74"/>
      <c r="DO11" s="74"/>
      <c r="DP11" s="74"/>
      <c r="DQ11" s="74"/>
      <c r="DR11" s="74">
        <v>20</v>
      </c>
      <c r="DS11" s="74"/>
      <c r="DT11" s="74"/>
      <c r="DU11" s="74"/>
      <c r="DV11" s="74"/>
      <c r="DW11" s="74"/>
      <c r="DX11" s="74"/>
      <c r="DY11" s="74"/>
      <c r="DZ11" s="74"/>
      <c r="EA11" s="74"/>
      <c r="EB11" s="74"/>
      <c r="EC11" s="74"/>
      <c r="ED11" s="74"/>
      <c r="EE11" s="74"/>
      <c r="EF11" s="74"/>
      <c r="EG11" s="74"/>
      <c r="EH11" s="74"/>
      <c r="EI11" s="74"/>
      <c r="EJ11" s="74"/>
      <c r="EK11" s="74"/>
      <c r="EL11" s="74"/>
      <c r="EM11" s="74"/>
      <c r="EN11" s="74"/>
      <c r="EO11" s="74"/>
      <c r="EP11" s="74"/>
      <c r="EQ11" s="74"/>
      <c r="ER11" s="74"/>
      <c r="ES11" s="74"/>
      <c r="ET11" s="74"/>
      <c r="EU11" s="74"/>
      <c r="EV11" s="74"/>
      <c r="EW11" s="74"/>
      <c r="EX11" s="74"/>
      <c r="EY11" s="74"/>
      <c r="EZ11" s="74"/>
      <c r="FA11" s="74"/>
      <c r="FB11" s="74"/>
      <c r="FC11" s="74"/>
      <c r="FD11" s="74"/>
      <c r="FE11" s="74"/>
      <c r="FF11" s="74"/>
      <c r="FG11" s="74"/>
      <c r="FH11" s="74"/>
      <c r="FI11" s="74"/>
      <c r="FJ11" s="74"/>
      <c r="FK11" s="74"/>
      <c r="FL11" s="74"/>
      <c r="FM11" s="74"/>
      <c r="FN11" s="74"/>
      <c r="FO11" s="74"/>
      <c r="FP11" s="74"/>
      <c r="FQ11" s="74"/>
      <c r="FR11" s="74"/>
      <c r="FS11" s="74"/>
      <c r="FT11" s="74"/>
      <c r="FU11" s="74"/>
      <c r="FV11" s="74"/>
      <c r="FW11" s="74"/>
      <c r="FX11" s="74"/>
      <c r="FY11" s="74"/>
      <c r="FZ11" s="74"/>
      <c r="GA11" s="74"/>
      <c r="GB11" s="74"/>
      <c r="GC11" s="74"/>
      <c r="GD11" s="74"/>
      <c r="GE11" s="74"/>
      <c r="GF11" s="74"/>
      <c r="GG11" s="74"/>
      <c r="GH11" s="74"/>
      <c r="GI11" s="74"/>
      <c r="GJ11" s="74"/>
      <c r="GK11" s="74"/>
      <c r="GL11" s="74"/>
      <c r="GM11" s="74"/>
      <c r="GN11" s="74"/>
      <c r="GO11" s="74"/>
      <c r="GP11" s="74"/>
      <c r="GQ11" s="74"/>
      <c r="GR11" s="74"/>
      <c r="GS11" s="74"/>
      <c r="GT11" s="74"/>
      <c r="GU11" s="74"/>
      <c r="GV11" s="74"/>
      <c r="GW11" s="74"/>
      <c r="GX11" s="74"/>
      <c r="GY11" s="74"/>
      <c r="GZ11" s="74"/>
      <c r="HA11" s="74"/>
      <c r="HB11" s="74"/>
      <c r="HC11" s="74"/>
      <c r="HD11" s="74"/>
      <c r="HE11" s="74"/>
      <c r="HF11" s="74"/>
      <c r="HG11" s="74"/>
      <c r="HH11" s="74"/>
      <c r="HI11" s="74"/>
      <c r="HJ11" s="74"/>
      <c r="HK11" s="74"/>
      <c r="HL11" s="74"/>
      <c r="HM11" s="74"/>
      <c r="HN11" s="74"/>
      <c r="HO11" s="74"/>
      <c r="HP11" s="74"/>
      <c r="HQ11" s="74"/>
      <c r="HR11" s="74"/>
      <c r="HS11" s="74"/>
      <c r="HT11" s="74"/>
      <c r="HU11" s="74"/>
      <c r="HV11" s="74"/>
      <c r="HW11" s="74"/>
      <c r="HX11" s="74"/>
      <c r="HY11" s="74"/>
      <c r="HZ11" s="74"/>
      <c r="IA11" s="74"/>
      <c r="IB11" s="74"/>
      <c r="IC11" s="74"/>
      <c r="ID11" s="74"/>
      <c r="IE11" s="74"/>
      <c r="IF11" s="74"/>
      <c r="IG11" s="74"/>
      <c r="IH11" s="74"/>
      <c r="II11" s="74"/>
      <c r="IJ11" s="74"/>
      <c r="IK11" s="74"/>
      <c r="IL11" s="74"/>
      <c r="IM11" s="74"/>
      <c r="IN11" s="74"/>
      <c r="IO11" s="74"/>
      <c r="IP11" s="74"/>
      <c r="IQ11" s="74"/>
      <c r="IR11" s="74"/>
      <c r="IS11" s="74"/>
      <c r="IT11" s="74"/>
      <c r="IU11" s="74"/>
      <c r="IV11" s="74"/>
      <c r="IW11" s="74"/>
      <c r="IX11" s="74"/>
      <c r="IY11" s="74"/>
      <c r="IZ11" s="74"/>
      <c r="JA11" s="74"/>
      <c r="JB11" s="74"/>
      <c r="JC11" s="74"/>
      <c r="JD11" s="74"/>
      <c r="JE11" s="74"/>
      <c r="JF11" s="74"/>
      <c r="JG11" s="74"/>
      <c r="JH11" s="74"/>
      <c r="JI11" s="74"/>
      <c r="JJ11" s="74"/>
      <c r="JK11" s="74"/>
      <c r="JL11" s="74"/>
      <c r="JM11" s="74"/>
      <c r="JN11" s="74"/>
      <c r="JO11" s="74"/>
      <c r="JP11" s="74"/>
      <c r="JQ11" s="74"/>
      <c r="JR11" s="74"/>
      <c r="JS11" s="74"/>
      <c r="JT11" s="74"/>
      <c r="JU11" s="74"/>
      <c r="JV11" s="74"/>
      <c r="JW11" s="74"/>
      <c r="JX11" s="74"/>
      <c r="JY11" s="74"/>
      <c r="JZ11" s="74"/>
      <c r="KA11" s="74"/>
      <c r="KB11" s="74"/>
      <c r="KC11" s="74"/>
      <c r="KD11" s="74"/>
      <c r="KE11" s="74"/>
      <c r="KF11" s="74"/>
      <c r="KG11" s="74"/>
      <c r="KH11" s="74"/>
      <c r="KI11" s="74"/>
      <c r="KJ11" s="74"/>
      <c r="KK11" s="74"/>
      <c r="KL11" s="74"/>
      <c r="KM11" s="74"/>
      <c r="KN11" s="74"/>
      <c r="KO11" s="74"/>
      <c r="KP11" s="74"/>
      <c r="KQ11" s="74"/>
      <c r="KR11" s="74"/>
      <c r="KS11" s="74"/>
      <c r="KT11" s="74"/>
      <c r="KU11" s="74"/>
      <c r="KV11" s="74"/>
      <c r="KW11" s="74"/>
      <c r="KX11" s="74"/>
      <c r="KY11" s="74"/>
      <c r="KZ11" s="71"/>
      <c r="LA11" s="74"/>
      <c r="LB11" s="74"/>
      <c r="LC11" s="195"/>
      <c r="LD11" s="74"/>
      <c r="LE11" s="74"/>
      <c r="LF11" s="74"/>
      <c r="LG11" s="74"/>
      <c r="LH11" s="74"/>
      <c r="LI11" s="74"/>
      <c r="LJ11" s="74"/>
      <c r="LK11" s="74"/>
      <c r="LL11" s="74"/>
      <c r="LM11" s="74"/>
      <c r="LN11" s="74"/>
      <c r="LO11" s="74"/>
      <c r="LP11" s="74"/>
      <c r="LQ11" s="74"/>
      <c r="LR11" s="74"/>
      <c r="LS11" s="74"/>
      <c r="LT11" s="74"/>
      <c r="LU11" s="74"/>
      <c r="LV11" s="74"/>
      <c r="LW11" s="74"/>
      <c r="LX11" s="74"/>
      <c r="LY11" s="74"/>
      <c r="LZ11" s="74"/>
      <c r="MA11" s="74"/>
      <c r="MB11" s="74"/>
      <c r="MC11" s="74"/>
      <c r="MD11" s="74"/>
      <c r="ME11" s="74"/>
      <c r="MF11" s="74"/>
      <c r="MG11" s="74"/>
      <c r="MH11" s="74"/>
      <c r="MI11" s="74"/>
      <c r="MJ11" s="74"/>
      <c r="MK11" s="74"/>
      <c r="ML11" s="74"/>
      <c r="MM11" s="74"/>
      <c r="MN11" s="74"/>
      <c r="MO11" s="74"/>
      <c r="MP11" s="74"/>
      <c r="MQ11" s="74"/>
      <c r="MR11" s="74"/>
      <c r="MS11" s="74"/>
      <c r="MT11" s="74"/>
      <c r="MU11" s="74"/>
      <c r="MV11" s="74"/>
      <c r="MW11" s="74"/>
      <c r="MX11" s="74"/>
      <c r="MY11" s="74"/>
      <c r="MZ11" s="74"/>
      <c r="NA11" s="74"/>
      <c r="NB11" s="74"/>
      <c r="NC11" s="74"/>
      <c r="ND11" s="74"/>
      <c r="NE11" s="74"/>
    </row>
    <row r="12" spans="1:1061" ht="16" thickBot="1" x14ac:dyDescent="0.25">
      <c r="A12" s="2"/>
      <c r="B12" s="76"/>
      <c r="C12" s="75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224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235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76"/>
      <c r="DA12" s="76"/>
      <c r="DB12" s="76"/>
      <c r="DC12" s="76"/>
      <c r="DD12" s="76"/>
      <c r="DE12" s="76"/>
      <c r="DF12" s="76"/>
      <c r="DG12" s="76"/>
      <c r="DH12" s="76"/>
      <c r="DI12" s="76"/>
      <c r="DJ12" s="76"/>
      <c r="DK12" s="76"/>
      <c r="DL12" s="76"/>
      <c r="DM12" s="76"/>
      <c r="DN12" s="76"/>
      <c r="DO12" s="76"/>
      <c r="DP12" s="76"/>
      <c r="DQ12" s="76"/>
      <c r="DR12" s="76"/>
      <c r="DS12" s="76"/>
      <c r="DT12" s="76"/>
      <c r="DU12" s="76"/>
      <c r="DV12" s="76"/>
      <c r="DW12" s="76"/>
      <c r="DX12" s="76"/>
      <c r="DY12" s="76"/>
      <c r="DZ12" s="76"/>
      <c r="EA12" s="76"/>
      <c r="EB12" s="76"/>
      <c r="EC12" s="76"/>
      <c r="ED12" s="76"/>
      <c r="EE12" s="76"/>
      <c r="EF12" s="76"/>
      <c r="EG12" s="76"/>
      <c r="EH12" s="76"/>
      <c r="EI12" s="76"/>
      <c r="EJ12" s="76"/>
      <c r="EK12" s="76"/>
      <c r="EL12" s="76"/>
      <c r="EM12" s="76"/>
      <c r="EN12" s="76"/>
      <c r="EO12" s="76"/>
      <c r="EP12" s="76"/>
      <c r="EQ12" s="76"/>
      <c r="ER12" s="76"/>
      <c r="ES12" s="76"/>
      <c r="ET12" s="76"/>
      <c r="EU12" s="76"/>
      <c r="EV12" s="76"/>
      <c r="EW12" s="76"/>
      <c r="EX12" s="76"/>
      <c r="EY12" s="76"/>
      <c r="EZ12" s="76"/>
      <c r="FA12" s="76"/>
      <c r="FB12" s="76"/>
      <c r="FC12" s="76"/>
      <c r="FD12" s="76"/>
      <c r="FE12" s="76"/>
      <c r="FF12" s="76"/>
      <c r="FG12" s="76"/>
      <c r="FH12" s="76"/>
      <c r="FI12" s="76"/>
      <c r="FJ12" s="76"/>
      <c r="FK12" s="76"/>
      <c r="FL12" s="76"/>
      <c r="FM12" s="76"/>
      <c r="FN12" s="76"/>
      <c r="FO12" s="76"/>
      <c r="FP12" s="76"/>
      <c r="FQ12" s="76"/>
      <c r="FR12" s="76"/>
      <c r="FS12" s="76"/>
      <c r="FT12" s="76"/>
      <c r="FU12" s="76"/>
      <c r="FV12" s="76"/>
      <c r="FW12" s="76"/>
      <c r="FX12" s="76"/>
      <c r="FY12" s="76"/>
      <c r="FZ12" s="76"/>
      <c r="GA12" s="76"/>
      <c r="GB12" s="76"/>
      <c r="GC12" s="76"/>
      <c r="GD12" s="76"/>
      <c r="GE12" s="76"/>
      <c r="GF12" s="76"/>
      <c r="GG12" s="76"/>
      <c r="GH12" s="76"/>
      <c r="GI12" s="76"/>
      <c r="GJ12" s="76"/>
      <c r="GK12" s="76"/>
      <c r="GL12" s="76"/>
      <c r="GM12" s="76"/>
      <c r="GN12" s="76"/>
      <c r="GO12" s="76"/>
      <c r="GP12" s="76"/>
      <c r="GQ12" s="76"/>
      <c r="GR12" s="76"/>
      <c r="GS12" s="76"/>
      <c r="GT12" s="76"/>
      <c r="GU12" s="76"/>
      <c r="GV12" s="76"/>
      <c r="GW12" s="76"/>
      <c r="GX12" s="76"/>
      <c r="GY12" s="76"/>
      <c r="GZ12" s="76"/>
      <c r="HA12" s="76"/>
      <c r="HB12" s="76"/>
      <c r="HC12" s="76"/>
      <c r="HD12" s="76"/>
      <c r="HE12" s="76"/>
      <c r="HF12" s="76"/>
      <c r="HG12" s="76"/>
      <c r="HH12" s="76"/>
      <c r="HI12" s="76"/>
      <c r="HJ12" s="76"/>
      <c r="HK12" s="76"/>
      <c r="HL12" s="76"/>
      <c r="HM12" s="76"/>
      <c r="HN12" s="76"/>
      <c r="HO12" s="76"/>
      <c r="HP12" s="76"/>
      <c r="HQ12" s="76"/>
      <c r="HR12" s="76"/>
      <c r="HS12" s="76"/>
      <c r="HT12" s="76"/>
      <c r="HU12" s="76"/>
      <c r="HV12" s="76"/>
      <c r="HW12" s="76"/>
      <c r="HX12" s="76"/>
      <c r="HY12" s="76"/>
      <c r="HZ12" s="76"/>
      <c r="IA12" s="76"/>
      <c r="IB12" s="76"/>
      <c r="IC12" s="76"/>
      <c r="ID12" s="76"/>
      <c r="IE12" s="76"/>
      <c r="IF12" s="76"/>
      <c r="IG12" s="76"/>
      <c r="IH12" s="76"/>
      <c r="II12" s="76"/>
      <c r="IJ12" s="76"/>
      <c r="IK12" s="76"/>
      <c r="IL12" s="76"/>
      <c r="IM12" s="76"/>
      <c r="IN12" s="76"/>
      <c r="IO12" s="76"/>
      <c r="IP12" s="76"/>
      <c r="IQ12" s="76"/>
      <c r="IR12" s="76"/>
      <c r="IS12" s="76"/>
      <c r="IT12" s="76"/>
      <c r="IU12" s="76"/>
      <c r="IV12" s="76"/>
      <c r="IW12" s="76"/>
      <c r="IX12" s="76"/>
      <c r="IY12" s="76"/>
      <c r="IZ12" s="76"/>
      <c r="JA12" s="76"/>
      <c r="JB12" s="76"/>
      <c r="JC12" s="76"/>
      <c r="JD12" s="76"/>
      <c r="JE12" s="76"/>
      <c r="JF12" s="76"/>
      <c r="JG12" s="76"/>
      <c r="JH12" s="76"/>
      <c r="JI12" s="76"/>
      <c r="JJ12" s="76"/>
      <c r="JK12" s="76"/>
      <c r="JL12" s="76"/>
      <c r="JM12" s="76"/>
      <c r="JN12" s="76"/>
      <c r="JO12" s="76"/>
      <c r="JP12" s="76"/>
      <c r="JQ12" s="76"/>
      <c r="JR12" s="76"/>
      <c r="JS12" s="76"/>
      <c r="JT12" s="76"/>
      <c r="JU12" s="76"/>
      <c r="JV12" s="76"/>
      <c r="JW12" s="76"/>
      <c r="JX12" s="76"/>
      <c r="JY12" s="76"/>
      <c r="JZ12" s="76"/>
      <c r="KA12" s="76"/>
      <c r="KB12" s="76"/>
      <c r="KC12" s="76"/>
      <c r="KD12" s="76"/>
      <c r="KE12" s="76"/>
      <c r="KF12" s="76"/>
      <c r="KG12" s="76"/>
      <c r="KH12" s="76"/>
      <c r="KI12" s="76"/>
      <c r="KJ12" s="76"/>
      <c r="KK12" s="76"/>
      <c r="KL12" s="76"/>
      <c r="KM12" s="76"/>
      <c r="KN12" s="76"/>
      <c r="KO12" s="76"/>
      <c r="KP12" s="76"/>
      <c r="KQ12" s="76"/>
      <c r="KR12" s="76"/>
      <c r="KS12" s="76"/>
      <c r="KT12" s="76"/>
      <c r="KU12" s="76"/>
      <c r="KV12" s="76"/>
      <c r="KW12" s="76"/>
      <c r="KX12" s="76"/>
      <c r="KY12" s="76"/>
      <c r="KZ12" s="76"/>
      <c r="LA12" s="76"/>
      <c r="LB12" s="76"/>
      <c r="LC12" s="76"/>
      <c r="LD12" s="76"/>
      <c r="LE12" s="76"/>
      <c r="LF12" s="76"/>
      <c r="LG12" s="76"/>
      <c r="LH12" s="76"/>
      <c r="LI12" s="76"/>
      <c r="LJ12" s="76"/>
      <c r="LK12" s="76"/>
      <c r="LL12" s="76"/>
      <c r="LM12" s="76"/>
      <c r="LN12" s="76"/>
      <c r="LO12" s="76"/>
      <c r="LP12" s="76"/>
      <c r="LQ12" s="76"/>
      <c r="LR12" s="76"/>
      <c r="LS12" s="76"/>
      <c r="LT12" s="76"/>
      <c r="LU12" s="76"/>
      <c r="LV12" s="76"/>
      <c r="LW12" s="76"/>
      <c r="LX12" s="76"/>
      <c r="LY12" s="76"/>
      <c r="LZ12" s="76"/>
      <c r="MA12" s="76"/>
      <c r="MB12" s="76"/>
      <c r="MC12" s="76"/>
      <c r="MD12" s="76"/>
      <c r="ME12" s="76"/>
      <c r="MF12" s="76"/>
      <c r="MG12" s="76"/>
      <c r="MH12" s="76"/>
      <c r="MI12" s="76"/>
      <c r="MJ12" s="76"/>
      <c r="MK12" s="76"/>
      <c r="ML12" s="76"/>
      <c r="MM12" s="76"/>
      <c r="MN12" s="76"/>
      <c r="MO12" s="76"/>
      <c r="MP12" s="76"/>
      <c r="MQ12" s="76"/>
      <c r="MR12" s="76"/>
      <c r="MS12" s="76"/>
      <c r="MT12" s="76"/>
      <c r="MU12" s="76"/>
      <c r="MV12" s="76"/>
      <c r="MW12" s="76"/>
      <c r="MX12" s="76"/>
      <c r="MY12" s="76"/>
      <c r="MZ12" s="76"/>
      <c r="NA12" s="76"/>
      <c r="NB12" s="76"/>
      <c r="NC12" s="76"/>
      <c r="ND12" s="76"/>
      <c r="NE12" s="76"/>
    </row>
    <row r="13" spans="1:1061" x14ac:dyDescent="0.2">
      <c r="A13" s="20" t="s">
        <v>6</v>
      </c>
      <c r="B13" s="208"/>
      <c r="C13" s="77">
        <v>543</v>
      </c>
      <c r="D13" s="78">
        <v>80</v>
      </c>
      <c r="E13" s="78">
        <v>292</v>
      </c>
      <c r="F13" s="78"/>
      <c r="G13" s="78"/>
      <c r="H13" s="78"/>
      <c r="I13" s="78"/>
      <c r="J13" s="78">
        <v>90</v>
      </c>
      <c r="K13" s="78">
        <v>387</v>
      </c>
      <c r="L13" s="78"/>
      <c r="M13" s="78">
        <v>480</v>
      </c>
      <c r="N13" s="78">
        <v>120</v>
      </c>
      <c r="O13" s="78"/>
      <c r="P13" s="78"/>
      <c r="Q13" s="78">
        <v>320</v>
      </c>
      <c r="R13" s="78">
        <v>210</v>
      </c>
      <c r="S13" s="78">
        <v>200</v>
      </c>
      <c r="T13" s="78">
        <v>164</v>
      </c>
      <c r="U13" s="78">
        <v>160</v>
      </c>
      <c r="V13" s="78"/>
      <c r="W13" s="78"/>
      <c r="X13" s="78">
        <v>382</v>
      </c>
      <c r="Y13" s="78">
        <v>380</v>
      </c>
      <c r="Z13" s="78">
        <v>270</v>
      </c>
      <c r="AA13" s="78"/>
      <c r="AB13" s="78">
        <v>240</v>
      </c>
      <c r="AC13" s="78"/>
      <c r="AD13" s="78"/>
      <c r="AE13" s="78">
        <v>288</v>
      </c>
      <c r="AF13" s="78">
        <v>336</v>
      </c>
      <c r="AG13" s="78">
        <v>418</v>
      </c>
      <c r="AH13" s="78">
        <v>420</v>
      </c>
      <c r="AI13" s="78">
        <v>240</v>
      </c>
      <c r="AJ13" s="78"/>
      <c r="AK13" s="78"/>
      <c r="AL13" s="78">
        <v>518</v>
      </c>
      <c r="AM13" s="78"/>
      <c r="AN13" s="78">
        <v>370</v>
      </c>
      <c r="AO13" s="78">
        <v>300</v>
      </c>
      <c r="AP13" s="78">
        <v>240</v>
      </c>
      <c r="AQ13" s="78"/>
      <c r="AR13" s="78"/>
      <c r="AS13" s="78">
        <v>410</v>
      </c>
      <c r="AT13" s="78">
        <v>80</v>
      </c>
      <c r="AU13" s="78">
        <v>450</v>
      </c>
      <c r="AV13" s="78">
        <v>240</v>
      </c>
      <c r="AW13" s="78">
        <v>240</v>
      </c>
      <c r="AX13" s="78"/>
      <c r="AY13" s="78"/>
      <c r="AZ13" s="78">
        <v>508</v>
      </c>
      <c r="BA13" s="78">
        <v>240</v>
      </c>
      <c r="BB13" s="78">
        <v>368</v>
      </c>
      <c r="BC13" s="78">
        <v>486</v>
      </c>
      <c r="BD13" s="78">
        <v>265</v>
      </c>
      <c r="BE13" s="78"/>
      <c r="BF13" s="78"/>
      <c r="BG13" s="78">
        <v>400</v>
      </c>
      <c r="BH13" s="78">
        <v>120</v>
      </c>
      <c r="BI13" s="78">
        <v>400</v>
      </c>
      <c r="BJ13" s="78">
        <v>250</v>
      </c>
      <c r="BK13" s="78">
        <v>400</v>
      </c>
      <c r="BL13" s="78"/>
      <c r="BM13" s="78"/>
      <c r="BN13" s="78">
        <v>240</v>
      </c>
      <c r="BO13" s="78"/>
      <c r="BP13" s="78">
        <v>480</v>
      </c>
      <c r="BQ13" s="78"/>
      <c r="BR13" s="78">
        <v>120</v>
      </c>
      <c r="BS13" s="78"/>
      <c r="BT13" s="78"/>
      <c r="BU13" s="78">
        <v>120</v>
      </c>
      <c r="BV13" s="78">
        <v>120</v>
      </c>
      <c r="BW13" s="78">
        <v>120</v>
      </c>
      <c r="BX13" s="78">
        <v>550</v>
      </c>
      <c r="BY13" s="78">
        <v>250</v>
      </c>
      <c r="BZ13" s="78"/>
      <c r="CA13" s="78"/>
      <c r="CB13" s="78">
        <v>240</v>
      </c>
      <c r="CC13" s="78">
        <v>220</v>
      </c>
      <c r="CD13" s="78">
        <v>250</v>
      </c>
      <c r="CE13" s="78"/>
      <c r="CF13" s="78">
        <v>120</v>
      </c>
      <c r="CG13" s="78"/>
      <c r="CH13" s="78"/>
      <c r="CI13" s="78">
        <v>360</v>
      </c>
      <c r="CJ13" s="78"/>
      <c r="CK13" s="78">
        <v>360</v>
      </c>
      <c r="CL13" s="78"/>
      <c r="CM13" s="78">
        <v>120</v>
      </c>
      <c r="CN13" s="78"/>
      <c r="CO13" s="78"/>
      <c r="CP13" s="78"/>
      <c r="CQ13" s="78">
        <v>120</v>
      </c>
      <c r="CR13" s="78">
        <v>120</v>
      </c>
      <c r="CS13" s="78">
        <v>240</v>
      </c>
      <c r="CT13" s="78"/>
      <c r="CU13" s="78"/>
      <c r="CV13" s="78"/>
      <c r="CW13" s="78">
        <v>41</v>
      </c>
      <c r="CX13" s="78"/>
      <c r="CY13" s="78">
        <v>480</v>
      </c>
      <c r="CZ13" s="78">
        <v>100</v>
      </c>
      <c r="DA13" s="78"/>
      <c r="DB13" s="78"/>
      <c r="DC13" s="78"/>
      <c r="DD13" s="78">
        <v>380</v>
      </c>
      <c r="DE13" s="78"/>
      <c r="DF13" s="78"/>
      <c r="DG13" s="78"/>
      <c r="DH13" s="78">
        <v>240</v>
      </c>
      <c r="DI13" s="78"/>
      <c r="DJ13" s="78"/>
      <c r="DK13" s="78"/>
      <c r="DL13" s="78">
        <v>260</v>
      </c>
      <c r="DM13" s="78">
        <v>130</v>
      </c>
      <c r="DN13" s="78">
        <v>370</v>
      </c>
      <c r="DO13" s="78">
        <v>120</v>
      </c>
      <c r="DP13" s="78"/>
      <c r="DQ13" s="78"/>
      <c r="DR13" s="78"/>
      <c r="DS13" s="78">
        <v>132</v>
      </c>
      <c r="DT13" s="78"/>
      <c r="DU13" s="78">
        <v>250</v>
      </c>
      <c r="DV13" s="78"/>
      <c r="DW13" s="78"/>
      <c r="DX13" s="78"/>
      <c r="DY13" s="78"/>
      <c r="DZ13" s="78">
        <v>120</v>
      </c>
      <c r="EA13" s="78">
        <v>130</v>
      </c>
      <c r="EB13" s="78">
        <v>130</v>
      </c>
      <c r="EC13" s="78"/>
      <c r="ED13" s="78"/>
      <c r="EE13" s="78"/>
      <c r="EF13" s="78">
        <v>130</v>
      </c>
      <c r="EG13" s="78">
        <v>130</v>
      </c>
      <c r="EH13" s="78">
        <v>130</v>
      </c>
      <c r="EI13" s="78">
        <v>130</v>
      </c>
      <c r="EJ13" s="78"/>
      <c r="EK13" s="78"/>
      <c r="EL13" s="78"/>
      <c r="EM13" s="78"/>
      <c r="EN13" s="78">
        <v>249</v>
      </c>
      <c r="EO13" s="78"/>
      <c r="EP13" s="78">
        <v>240</v>
      </c>
      <c r="EQ13" s="78"/>
      <c r="ER13" s="78"/>
      <c r="ES13" s="78"/>
      <c r="ET13" s="78"/>
      <c r="EU13" s="78">
        <v>240</v>
      </c>
      <c r="EV13" s="78">
        <v>120</v>
      </c>
      <c r="EW13" s="78">
        <v>240</v>
      </c>
      <c r="EX13" s="78"/>
      <c r="EY13" s="78"/>
      <c r="EZ13" s="78"/>
      <c r="FA13" s="78"/>
      <c r="FB13" s="78">
        <v>120</v>
      </c>
      <c r="FC13" s="78"/>
      <c r="FD13" s="78"/>
      <c r="FE13" s="78">
        <v>240</v>
      </c>
      <c r="FF13" s="78"/>
      <c r="FG13" s="78"/>
      <c r="FH13" s="78"/>
      <c r="FI13" s="78">
        <v>120</v>
      </c>
      <c r="FJ13" s="78">
        <v>120</v>
      </c>
      <c r="FK13" s="78"/>
      <c r="FL13" s="78">
        <v>352</v>
      </c>
      <c r="FM13" s="78"/>
      <c r="FN13" s="78"/>
      <c r="FO13" s="78"/>
      <c r="FP13" s="78"/>
      <c r="FQ13" s="78"/>
      <c r="FR13" s="78"/>
      <c r="FS13" s="78"/>
      <c r="FT13" s="78"/>
      <c r="FU13" s="78"/>
      <c r="FV13" s="78"/>
      <c r="FW13" s="78"/>
      <c r="FX13" s="78"/>
      <c r="FY13" s="78"/>
      <c r="FZ13" s="78"/>
      <c r="GA13" s="78"/>
      <c r="GB13" s="78"/>
      <c r="GC13" s="78"/>
      <c r="GD13" s="78"/>
      <c r="GE13" s="78"/>
      <c r="GF13" s="78"/>
      <c r="GG13" s="78"/>
      <c r="GH13" s="78"/>
      <c r="GI13" s="78"/>
      <c r="GJ13" s="78"/>
      <c r="GK13" s="78"/>
      <c r="GL13" s="78"/>
      <c r="GM13" s="78"/>
      <c r="GN13" s="78"/>
      <c r="GO13" s="78"/>
      <c r="GP13" s="78"/>
      <c r="GQ13" s="78"/>
      <c r="GR13" s="78"/>
      <c r="GS13" s="78"/>
      <c r="GT13" s="78"/>
      <c r="GU13" s="78"/>
      <c r="GV13" s="78"/>
      <c r="GW13" s="78"/>
      <c r="GX13" s="78"/>
      <c r="GY13" s="78"/>
      <c r="GZ13" s="78"/>
      <c r="HA13" s="78"/>
      <c r="HB13" s="78"/>
      <c r="HC13" s="78"/>
      <c r="HD13" s="78"/>
      <c r="HE13" s="78"/>
      <c r="HF13" s="78"/>
      <c r="HG13" s="78"/>
      <c r="HH13" s="78"/>
      <c r="HI13" s="78"/>
      <c r="HJ13" s="78"/>
      <c r="HK13" s="78"/>
      <c r="HL13" s="78"/>
      <c r="HM13" s="78"/>
      <c r="HN13" s="78"/>
      <c r="HO13" s="78"/>
      <c r="HP13" s="78"/>
      <c r="HQ13" s="78"/>
      <c r="HR13" s="78"/>
      <c r="HS13" s="78"/>
      <c r="HT13" s="78"/>
      <c r="HU13" s="78"/>
      <c r="HV13" s="78"/>
      <c r="HW13" s="78"/>
      <c r="HX13" s="78"/>
      <c r="HY13" s="78"/>
      <c r="HZ13" s="78"/>
      <c r="IA13" s="78"/>
      <c r="IB13" s="78"/>
      <c r="IC13" s="78"/>
      <c r="ID13" s="78"/>
      <c r="IE13" s="78"/>
      <c r="IF13" s="78"/>
      <c r="IG13" s="78"/>
      <c r="IH13" s="78"/>
      <c r="II13" s="78"/>
      <c r="IJ13" s="78"/>
      <c r="IK13" s="78"/>
      <c r="IL13" s="78"/>
      <c r="IM13" s="78"/>
      <c r="IN13" s="78"/>
      <c r="IO13" s="78"/>
      <c r="IP13" s="78"/>
      <c r="IQ13" s="78"/>
      <c r="IR13" s="78"/>
      <c r="IS13" s="78"/>
      <c r="IT13" s="78"/>
      <c r="IU13" s="78"/>
      <c r="IV13" s="78"/>
      <c r="IW13" s="78"/>
      <c r="IX13" s="78"/>
      <c r="IY13" s="78"/>
      <c r="IZ13" s="78"/>
      <c r="JA13" s="78"/>
      <c r="JB13" s="78"/>
      <c r="JC13" s="78"/>
      <c r="JD13" s="78"/>
      <c r="JE13" s="78"/>
      <c r="JF13" s="78"/>
      <c r="JG13" s="78"/>
      <c r="JH13" s="78"/>
      <c r="JI13" s="78"/>
      <c r="JJ13" s="78"/>
      <c r="JK13" s="78"/>
      <c r="JL13" s="78"/>
      <c r="JM13" s="78"/>
      <c r="JN13" s="78"/>
      <c r="JO13" s="78"/>
      <c r="JP13" s="78"/>
      <c r="JQ13" s="78"/>
      <c r="JR13" s="78"/>
      <c r="JS13" s="78"/>
      <c r="JT13" s="78"/>
      <c r="JU13" s="78"/>
      <c r="JV13" s="78"/>
      <c r="JW13" s="78"/>
      <c r="JX13" s="78"/>
      <c r="JY13" s="78"/>
      <c r="JZ13" s="78"/>
      <c r="KA13" s="78"/>
      <c r="KB13" s="78"/>
      <c r="KC13" s="78"/>
      <c r="KD13" s="78"/>
      <c r="KE13" s="78"/>
      <c r="KF13" s="78"/>
      <c r="KG13" s="78"/>
      <c r="KH13" s="78"/>
      <c r="KI13" s="78"/>
      <c r="KJ13" s="78"/>
      <c r="KK13" s="78"/>
      <c r="KL13" s="78"/>
      <c r="KM13" s="78"/>
      <c r="KN13" s="78"/>
      <c r="KO13" s="78"/>
      <c r="KP13" s="78"/>
      <c r="KQ13" s="78"/>
      <c r="KR13" s="78"/>
      <c r="KS13" s="78"/>
      <c r="KT13" s="78"/>
      <c r="KU13" s="78"/>
      <c r="KV13" s="78"/>
      <c r="KW13" s="78"/>
      <c r="KX13" s="78"/>
      <c r="KY13" s="78"/>
      <c r="KZ13" s="78"/>
      <c r="LA13" s="78"/>
      <c r="LB13" s="78"/>
      <c r="LC13" s="78"/>
      <c r="LD13" s="78"/>
      <c r="LE13" s="78"/>
      <c r="LF13" s="78"/>
      <c r="LG13" s="78"/>
      <c r="LH13" s="78"/>
      <c r="LI13" s="78"/>
      <c r="LJ13" s="78"/>
      <c r="LK13" s="78"/>
      <c r="LL13" s="78"/>
      <c r="LM13" s="78"/>
      <c r="LN13" s="78"/>
      <c r="LO13" s="78"/>
      <c r="LP13" s="78"/>
      <c r="LQ13" s="78"/>
      <c r="LR13" s="78"/>
      <c r="LS13" s="78"/>
      <c r="LT13" s="78"/>
      <c r="LU13" s="78"/>
      <c r="LV13" s="78"/>
      <c r="LW13" s="78"/>
      <c r="LX13" s="78"/>
      <c r="LY13" s="78"/>
      <c r="LZ13" s="78"/>
      <c r="MA13" s="78"/>
      <c r="MB13" s="78"/>
      <c r="MC13" s="78"/>
      <c r="MD13" s="78"/>
      <c r="ME13" s="78"/>
      <c r="MF13" s="78"/>
      <c r="MG13" s="78"/>
      <c r="MH13" s="78"/>
      <c r="MI13" s="78"/>
      <c r="MJ13" s="78"/>
      <c r="MK13" s="78"/>
      <c r="ML13" s="78"/>
      <c r="MM13" s="78"/>
      <c r="MN13" s="78"/>
      <c r="MO13" s="78"/>
      <c r="MP13" s="78"/>
      <c r="MQ13" s="78"/>
      <c r="MR13" s="78"/>
      <c r="MS13" s="78"/>
      <c r="MT13" s="78"/>
      <c r="MU13" s="78"/>
      <c r="MV13" s="78"/>
      <c r="MW13" s="78"/>
      <c r="MX13" s="78"/>
      <c r="MY13" s="78"/>
      <c r="MZ13" s="78"/>
      <c r="NA13" s="78"/>
      <c r="NB13" s="78"/>
      <c r="NC13" s="78"/>
      <c r="ND13" s="78"/>
      <c r="NE13" s="78"/>
    </row>
    <row r="14" spans="1:1061" s="229" customFormat="1" x14ac:dyDescent="0.2">
      <c r="A14" s="242" t="s">
        <v>7</v>
      </c>
      <c r="B14" s="243"/>
      <c r="C14" s="244"/>
      <c r="D14" s="189"/>
      <c r="E14" s="189"/>
      <c r="F14" s="189"/>
      <c r="G14" s="189"/>
      <c r="H14" s="189"/>
      <c r="I14" s="189"/>
      <c r="J14" s="189"/>
      <c r="K14" s="189"/>
      <c r="L14" s="189">
        <v>120</v>
      </c>
      <c r="M14" s="189"/>
      <c r="N14" s="189"/>
      <c r="O14" s="189"/>
      <c r="P14" s="189"/>
      <c r="Q14" s="189"/>
      <c r="R14" s="189"/>
      <c r="S14" s="189"/>
      <c r="T14" s="189"/>
      <c r="U14" s="189"/>
      <c r="V14" s="189"/>
      <c r="W14" s="189"/>
      <c r="X14" s="189"/>
      <c r="Y14" s="189"/>
      <c r="Z14" s="189"/>
      <c r="AA14" s="189"/>
      <c r="AB14" s="189"/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>
        <v>20</v>
      </c>
      <c r="AT14" s="189"/>
      <c r="AU14" s="189"/>
      <c r="AV14" s="189"/>
      <c r="AW14" s="189"/>
      <c r="AX14" s="189"/>
      <c r="AY14" s="189"/>
      <c r="AZ14" s="189"/>
      <c r="BA14" s="189"/>
      <c r="BB14" s="189"/>
      <c r="BC14" s="189"/>
      <c r="BD14" s="189"/>
      <c r="BE14" s="189"/>
      <c r="BF14" s="189"/>
      <c r="BG14" s="189"/>
      <c r="BH14" s="189"/>
      <c r="BI14" s="189">
        <v>10</v>
      </c>
      <c r="BJ14" s="189"/>
      <c r="BK14" s="189"/>
      <c r="BL14" s="189"/>
      <c r="BM14" s="189"/>
      <c r="BN14" s="189"/>
      <c r="BO14" s="189"/>
      <c r="BP14" s="189"/>
      <c r="BQ14" s="189"/>
      <c r="BR14" s="189"/>
      <c r="BS14" s="189"/>
      <c r="BT14" s="189"/>
      <c r="BU14" s="189"/>
      <c r="BV14" s="189"/>
      <c r="BW14" s="189"/>
      <c r="BX14" s="189"/>
      <c r="BY14" s="189"/>
      <c r="BZ14" s="189"/>
      <c r="CA14" s="189"/>
      <c r="CB14" s="189"/>
      <c r="CC14" s="189"/>
      <c r="CD14" s="189"/>
      <c r="CE14" s="189"/>
      <c r="CF14" s="189"/>
      <c r="CG14" s="189"/>
      <c r="CH14" s="189"/>
      <c r="CI14" s="189"/>
      <c r="CJ14" s="189"/>
      <c r="CK14" s="189"/>
      <c r="CL14" s="189"/>
      <c r="CM14" s="189"/>
      <c r="CN14" s="189"/>
      <c r="CO14" s="189"/>
      <c r="CP14" s="189"/>
      <c r="CQ14" s="189"/>
      <c r="CR14" s="189"/>
      <c r="CS14" s="189"/>
      <c r="CT14" s="189"/>
      <c r="CU14" s="189"/>
      <c r="CV14" s="189"/>
      <c r="CW14" s="189">
        <v>79</v>
      </c>
      <c r="CX14" s="189"/>
      <c r="CY14" s="189"/>
      <c r="CZ14" s="189"/>
      <c r="DA14" s="189"/>
      <c r="DB14" s="189"/>
      <c r="DC14" s="189"/>
      <c r="DD14" s="189"/>
      <c r="DE14" s="189"/>
      <c r="DF14" s="189"/>
      <c r="DG14" s="189"/>
      <c r="DH14" s="189"/>
      <c r="DI14" s="189"/>
      <c r="DJ14" s="189"/>
      <c r="DK14" s="189"/>
      <c r="DL14" s="189"/>
      <c r="DM14" s="189"/>
      <c r="DN14" s="189"/>
      <c r="DO14" s="189"/>
      <c r="DP14" s="189"/>
      <c r="DQ14" s="189"/>
      <c r="DR14" s="189"/>
      <c r="DS14" s="189"/>
      <c r="DT14" s="189"/>
      <c r="DU14" s="189"/>
      <c r="DV14" s="189"/>
      <c r="DW14" s="189"/>
      <c r="DX14" s="189"/>
      <c r="DY14" s="189"/>
      <c r="DZ14" s="189"/>
      <c r="EA14" s="189"/>
      <c r="EB14" s="189"/>
      <c r="EC14" s="189"/>
      <c r="ED14" s="189"/>
      <c r="EE14" s="189"/>
      <c r="EF14" s="189"/>
      <c r="EG14" s="189"/>
      <c r="EH14" s="189"/>
      <c r="EI14" s="189"/>
      <c r="EJ14" s="189"/>
      <c r="EK14" s="189"/>
      <c r="EL14" s="189"/>
      <c r="EM14" s="189"/>
      <c r="EN14" s="189"/>
      <c r="EO14" s="189"/>
      <c r="EP14" s="189"/>
      <c r="EQ14" s="189"/>
      <c r="ER14" s="189"/>
      <c r="ES14" s="189"/>
      <c r="ET14" s="189"/>
      <c r="EU14" s="189"/>
      <c r="EV14" s="189"/>
      <c r="EW14" s="189"/>
      <c r="EX14" s="189"/>
      <c r="EY14" s="189"/>
      <c r="EZ14" s="189"/>
      <c r="FA14" s="189"/>
      <c r="FB14" s="189"/>
      <c r="FC14" s="189"/>
      <c r="FD14" s="189"/>
      <c r="FE14" s="189"/>
      <c r="FF14" s="189"/>
      <c r="FG14" s="189"/>
      <c r="FH14" s="189"/>
      <c r="FI14" s="189"/>
      <c r="FJ14" s="189"/>
      <c r="FK14" s="189"/>
      <c r="FL14" s="189"/>
      <c r="FM14" s="189"/>
      <c r="FN14" s="189"/>
      <c r="FO14" s="189"/>
      <c r="FP14" s="189"/>
      <c r="FQ14" s="189"/>
      <c r="FR14" s="189"/>
      <c r="FS14" s="189"/>
      <c r="FT14" s="189"/>
      <c r="FU14" s="189"/>
      <c r="FV14" s="189"/>
      <c r="FW14" s="189"/>
      <c r="FX14" s="189"/>
      <c r="FY14" s="189"/>
      <c r="FZ14" s="189"/>
      <c r="GA14" s="189"/>
      <c r="GB14" s="189"/>
      <c r="GC14" s="189"/>
      <c r="GD14" s="189"/>
      <c r="GE14" s="189"/>
      <c r="GF14" s="189"/>
      <c r="GG14" s="189"/>
      <c r="GH14" s="189"/>
      <c r="GI14" s="189"/>
      <c r="GJ14" s="189"/>
      <c r="GK14" s="189"/>
      <c r="GL14" s="189"/>
      <c r="GM14" s="189"/>
      <c r="GN14" s="189"/>
      <c r="GO14" s="189"/>
      <c r="GP14" s="189"/>
      <c r="GQ14" s="189"/>
      <c r="GR14" s="189"/>
      <c r="GS14" s="189"/>
      <c r="GT14" s="189"/>
      <c r="GU14" s="189"/>
      <c r="GV14" s="189"/>
      <c r="GW14" s="189"/>
      <c r="GX14" s="189"/>
      <c r="GY14" s="189"/>
      <c r="GZ14" s="189"/>
      <c r="HA14" s="189"/>
      <c r="HB14" s="189"/>
      <c r="HC14" s="189"/>
      <c r="HD14" s="189"/>
      <c r="HE14" s="189"/>
      <c r="HF14" s="189"/>
      <c r="HG14" s="189"/>
      <c r="HH14" s="189"/>
      <c r="HI14" s="189"/>
      <c r="HJ14" s="189"/>
      <c r="HK14" s="189"/>
      <c r="HL14" s="189"/>
      <c r="HM14" s="189"/>
      <c r="HN14" s="189"/>
      <c r="HO14" s="189"/>
      <c r="HP14" s="189"/>
      <c r="HQ14" s="189"/>
      <c r="HR14" s="189"/>
      <c r="HS14" s="189"/>
      <c r="HT14" s="189"/>
      <c r="HU14" s="189"/>
      <c r="HV14" s="189"/>
      <c r="HW14" s="189"/>
      <c r="HX14" s="189"/>
      <c r="HY14" s="189"/>
      <c r="HZ14" s="189"/>
      <c r="IA14" s="189"/>
      <c r="IB14" s="189"/>
      <c r="IC14" s="189"/>
      <c r="ID14" s="189"/>
      <c r="IE14" s="189"/>
      <c r="IF14" s="189"/>
      <c r="IG14" s="189"/>
      <c r="IH14" s="189"/>
      <c r="II14" s="189"/>
      <c r="IJ14" s="189"/>
      <c r="IK14" s="189"/>
      <c r="IL14" s="189"/>
      <c r="IM14" s="189"/>
      <c r="IN14" s="189"/>
      <c r="IO14" s="189"/>
      <c r="IP14" s="189"/>
      <c r="IQ14" s="189"/>
      <c r="IR14" s="189"/>
      <c r="IS14" s="189"/>
      <c r="IT14" s="189"/>
      <c r="IU14" s="189"/>
      <c r="IV14" s="189"/>
      <c r="IW14" s="189"/>
      <c r="IX14" s="189"/>
      <c r="IY14" s="189"/>
      <c r="IZ14" s="189"/>
      <c r="JA14" s="189"/>
      <c r="JB14" s="189"/>
      <c r="JC14" s="189"/>
      <c r="JD14" s="189"/>
      <c r="JE14" s="189"/>
      <c r="JF14" s="189"/>
      <c r="JG14" s="189"/>
      <c r="JH14" s="189"/>
      <c r="JI14" s="189"/>
      <c r="JJ14" s="189"/>
      <c r="JK14" s="189"/>
      <c r="JL14" s="189"/>
      <c r="JM14" s="189"/>
      <c r="JN14" s="189"/>
      <c r="JO14" s="189"/>
      <c r="JP14" s="189"/>
      <c r="JQ14" s="189"/>
      <c r="JR14" s="189"/>
      <c r="JS14" s="189"/>
      <c r="JT14" s="189"/>
      <c r="JU14" s="189"/>
      <c r="JV14" s="189"/>
      <c r="JW14" s="189"/>
      <c r="JX14" s="189"/>
      <c r="JY14" s="189"/>
      <c r="JZ14" s="189"/>
      <c r="KA14" s="189"/>
      <c r="KB14" s="189"/>
      <c r="KC14" s="189"/>
      <c r="KD14" s="189"/>
      <c r="KE14" s="189"/>
      <c r="KF14" s="189"/>
      <c r="KG14" s="189"/>
      <c r="KH14" s="189"/>
      <c r="KI14" s="189"/>
      <c r="KJ14" s="189"/>
      <c r="KK14" s="189"/>
      <c r="KL14" s="189"/>
      <c r="KM14" s="189"/>
      <c r="KN14" s="189"/>
      <c r="KO14" s="189"/>
      <c r="KP14" s="189"/>
      <c r="KQ14" s="189"/>
      <c r="KR14" s="189"/>
      <c r="KS14" s="189"/>
      <c r="KT14" s="189"/>
      <c r="KU14" s="189"/>
      <c r="KV14" s="189"/>
      <c r="KW14" s="189"/>
      <c r="KX14" s="189"/>
      <c r="KY14" s="189"/>
      <c r="KZ14" s="189"/>
      <c r="LA14" s="189"/>
      <c r="LB14" s="189"/>
      <c r="LC14" s="189"/>
      <c r="LD14" s="189"/>
      <c r="LE14" s="189"/>
      <c r="LF14" s="189"/>
      <c r="LG14" s="189"/>
      <c r="LH14" s="189"/>
      <c r="LI14" s="189"/>
      <c r="LJ14" s="189"/>
      <c r="LK14" s="189"/>
      <c r="LL14" s="189"/>
      <c r="LM14" s="189"/>
      <c r="LN14" s="189"/>
      <c r="LO14" s="189"/>
      <c r="LP14" s="189"/>
      <c r="LQ14" s="189"/>
      <c r="LR14" s="189"/>
      <c r="LS14" s="189"/>
      <c r="LT14" s="189"/>
      <c r="LU14" s="189"/>
      <c r="LV14" s="189"/>
      <c r="LW14" s="189"/>
      <c r="LX14" s="189"/>
      <c r="LY14" s="189"/>
      <c r="LZ14" s="189"/>
      <c r="MA14" s="189"/>
      <c r="MB14" s="189"/>
      <c r="MC14" s="189"/>
      <c r="MD14" s="189"/>
      <c r="ME14" s="189"/>
      <c r="MF14" s="189"/>
      <c r="MG14" s="189"/>
      <c r="MH14" s="189"/>
      <c r="MI14" s="189"/>
      <c r="MJ14" s="189"/>
      <c r="MK14" s="189"/>
      <c r="ML14" s="189"/>
      <c r="MM14" s="189"/>
      <c r="MN14" s="189"/>
      <c r="MO14" s="189"/>
      <c r="MP14" s="189"/>
      <c r="MQ14" s="189"/>
      <c r="MR14" s="189"/>
      <c r="MS14" s="189"/>
      <c r="MT14" s="189"/>
      <c r="MU14" s="189"/>
      <c r="MV14" s="189"/>
      <c r="MW14" s="189"/>
      <c r="MX14" s="189"/>
      <c r="MY14" s="189"/>
      <c r="MZ14" s="189"/>
      <c r="NA14" s="189"/>
      <c r="NB14" s="189"/>
      <c r="NC14" s="189"/>
      <c r="ND14" s="189"/>
      <c r="NE14" s="189"/>
    </row>
    <row r="15" spans="1:1061" x14ac:dyDescent="0.2">
      <c r="A15" s="18" t="s">
        <v>166</v>
      </c>
      <c r="B15" s="210">
        <v>1521</v>
      </c>
      <c r="C15" s="81">
        <v>1063</v>
      </c>
      <c r="D15" s="82">
        <v>972</v>
      </c>
      <c r="E15" s="82"/>
      <c r="F15" s="82"/>
      <c r="G15" s="82"/>
      <c r="H15" s="82"/>
      <c r="I15" s="82"/>
      <c r="J15" s="82"/>
      <c r="K15" s="82">
        <v>1628</v>
      </c>
      <c r="L15" s="82"/>
      <c r="M15" s="82"/>
      <c r="N15" s="82">
        <v>1481</v>
      </c>
      <c r="O15" s="82"/>
      <c r="P15" s="82"/>
      <c r="Q15" s="82">
        <v>670</v>
      </c>
      <c r="R15" s="82"/>
      <c r="S15" s="82">
        <v>1004</v>
      </c>
      <c r="T15" s="82">
        <v>512</v>
      </c>
      <c r="U15" s="82"/>
      <c r="V15" s="82"/>
      <c r="W15" s="82"/>
      <c r="X15" s="82">
        <v>3982</v>
      </c>
      <c r="Y15" s="82"/>
      <c r="Z15" s="82"/>
      <c r="AA15" s="82"/>
      <c r="AB15" s="82"/>
      <c r="AC15" s="82"/>
      <c r="AD15" s="82"/>
      <c r="AE15" s="82"/>
      <c r="AF15" s="82">
        <v>945</v>
      </c>
      <c r="AG15" s="82">
        <v>5620</v>
      </c>
      <c r="AH15" s="82"/>
      <c r="AI15" s="82"/>
      <c r="AJ15" s="82"/>
      <c r="AK15" s="82"/>
      <c r="AL15" s="82"/>
      <c r="AM15" s="82"/>
      <c r="AN15" s="82">
        <v>3374</v>
      </c>
      <c r="AO15" s="82"/>
      <c r="AP15" s="82"/>
      <c r="AQ15" s="82"/>
      <c r="AR15" s="82"/>
      <c r="AS15" s="82"/>
      <c r="AT15" s="82"/>
      <c r="AU15" s="82">
        <v>2857</v>
      </c>
      <c r="AV15" s="82"/>
      <c r="AW15" s="82"/>
      <c r="AX15" s="82"/>
      <c r="AY15" s="82"/>
      <c r="AZ15" s="82"/>
      <c r="BA15" s="82">
        <v>2918</v>
      </c>
      <c r="BB15" s="82">
        <v>2786</v>
      </c>
      <c r="BC15" s="82"/>
      <c r="BD15" s="82"/>
      <c r="BE15" s="82"/>
      <c r="BF15" s="82"/>
      <c r="BG15" s="82"/>
      <c r="BH15" s="82"/>
      <c r="BI15" s="82"/>
      <c r="BJ15" s="82">
        <v>2879</v>
      </c>
      <c r="BK15" s="82"/>
      <c r="BL15" s="82"/>
      <c r="BM15" s="82"/>
      <c r="BN15" s="82"/>
      <c r="BO15" s="82"/>
      <c r="BP15" s="82"/>
      <c r="BQ15" s="82"/>
      <c r="BR15" s="82">
        <v>1423</v>
      </c>
      <c r="BS15" s="82"/>
      <c r="BT15" s="82"/>
      <c r="BU15" s="82"/>
      <c r="BV15" s="82">
        <v>1400</v>
      </c>
      <c r="BW15" s="82"/>
      <c r="BX15" s="82">
        <v>4086</v>
      </c>
      <c r="BY15" s="82"/>
      <c r="BZ15" s="82"/>
      <c r="CA15" s="82"/>
      <c r="CB15" s="82"/>
      <c r="CC15" s="82">
        <v>2660</v>
      </c>
      <c r="CD15" s="82"/>
      <c r="CE15" s="82"/>
      <c r="CF15" s="82"/>
      <c r="CG15" s="82"/>
      <c r="CH15" s="82"/>
      <c r="CI15" s="82"/>
      <c r="CJ15" s="82"/>
      <c r="CK15" s="82">
        <v>1329</v>
      </c>
      <c r="CL15" s="82"/>
      <c r="CM15" s="82"/>
      <c r="CN15" s="82"/>
      <c r="CO15" s="82"/>
      <c r="CP15" s="82"/>
      <c r="CQ15" s="82"/>
      <c r="CR15" s="82">
        <v>1386</v>
      </c>
      <c r="CS15" s="82"/>
      <c r="CT15" s="82"/>
      <c r="CU15" s="82"/>
      <c r="CV15" s="82"/>
      <c r="CW15" s="82"/>
      <c r="CX15" s="82"/>
      <c r="CY15" s="82">
        <v>1380</v>
      </c>
      <c r="CZ15" s="82">
        <v>1373</v>
      </c>
      <c r="DA15" s="82"/>
      <c r="DB15" s="82"/>
      <c r="DC15" s="82"/>
      <c r="DD15" s="82"/>
      <c r="DE15" s="82"/>
      <c r="DF15" s="82"/>
      <c r="DG15" s="82"/>
      <c r="DH15" s="82">
        <v>1362</v>
      </c>
      <c r="DI15" s="82"/>
      <c r="DJ15" s="82"/>
      <c r="DK15" s="82"/>
      <c r="DL15" s="82"/>
      <c r="DM15" s="82">
        <v>1430</v>
      </c>
      <c r="DN15" s="82"/>
      <c r="DO15" s="82">
        <v>1412</v>
      </c>
      <c r="DP15" s="82"/>
      <c r="DQ15" s="82"/>
      <c r="DR15" s="82"/>
      <c r="DS15" s="82"/>
      <c r="DT15" s="82"/>
      <c r="DU15" s="82">
        <v>1450</v>
      </c>
      <c r="DV15" s="82"/>
      <c r="DW15" s="82"/>
      <c r="DX15" s="82"/>
      <c r="DY15" s="82"/>
      <c r="DZ15" s="82"/>
      <c r="EA15" s="82"/>
      <c r="EB15" s="82">
        <v>1450</v>
      </c>
      <c r="EC15" s="82"/>
      <c r="ED15" s="82"/>
      <c r="EE15" s="82"/>
      <c r="EF15" s="82"/>
      <c r="EG15" s="82">
        <v>1498</v>
      </c>
      <c r="EH15" s="82">
        <v>1449</v>
      </c>
      <c r="EI15" s="82"/>
      <c r="EJ15" s="82"/>
      <c r="EK15" s="82"/>
      <c r="EL15" s="82"/>
      <c r="EM15" s="82"/>
      <c r="EN15" s="82"/>
      <c r="EO15" s="82"/>
      <c r="EP15" s="82"/>
      <c r="EQ15" s="82"/>
      <c r="ER15" s="82"/>
      <c r="ES15" s="82"/>
      <c r="ET15" s="82"/>
      <c r="EU15" s="82"/>
      <c r="EV15" s="82">
        <v>1463</v>
      </c>
      <c r="EW15" s="82"/>
      <c r="EX15" s="82"/>
      <c r="EY15" s="82"/>
      <c r="EZ15" s="82"/>
      <c r="FA15" s="82"/>
      <c r="FB15" s="82"/>
      <c r="FC15" s="82"/>
      <c r="FD15" s="82"/>
      <c r="FE15" s="82">
        <v>2866</v>
      </c>
      <c r="FF15" s="82"/>
      <c r="FG15" s="82"/>
      <c r="FH15" s="82"/>
      <c r="FI15" s="82"/>
      <c r="FJ15" s="82"/>
      <c r="FK15" s="82"/>
      <c r="FL15" s="82"/>
      <c r="FM15" s="82"/>
      <c r="FN15" s="82"/>
      <c r="FO15" s="82"/>
      <c r="FP15" s="82"/>
      <c r="FQ15" s="82"/>
      <c r="FR15" s="82"/>
      <c r="FS15" s="82"/>
      <c r="FT15" s="82"/>
      <c r="FU15" s="82"/>
      <c r="FV15" s="82"/>
      <c r="FW15" s="82"/>
      <c r="FX15" s="82"/>
      <c r="FY15" s="82"/>
      <c r="FZ15" s="82"/>
      <c r="GA15" s="82"/>
      <c r="GB15" s="82"/>
      <c r="GC15" s="82"/>
      <c r="GD15" s="82"/>
      <c r="GE15" s="82"/>
      <c r="GF15" s="82"/>
      <c r="GG15" s="82"/>
      <c r="GH15" s="82"/>
      <c r="GI15" s="82"/>
      <c r="GJ15" s="82"/>
      <c r="GK15" s="82"/>
      <c r="GL15" s="82"/>
      <c r="GM15" s="82"/>
      <c r="GN15" s="82"/>
      <c r="GO15" s="82"/>
      <c r="GP15" s="82"/>
      <c r="GQ15" s="82"/>
      <c r="GR15" s="82"/>
      <c r="GS15" s="82"/>
      <c r="GT15" s="82"/>
      <c r="GU15" s="82"/>
      <c r="GV15" s="82"/>
      <c r="GW15" s="82"/>
      <c r="GX15" s="82"/>
      <c r="GY15" s="82"/>
      <c r="GZ15" s="82"/>
      <c r="HA15" s="82"/>
      <c r="HB15" s="82"/>
      <c r="HC15" s="82"/>
      <c r="HD15" s="82"/>
      <c r="HE15" s="82"/>
      <c r="HF15" s="82"/>
      <c r="HG15" s="82"/>
      <c r="HH15" s="82"/>
      <c r="HI15" s="82"/>
      <c r="HJ15" s="82"/>
      <c r="HK15" s="82"/>
      <c r="HL15" s="82"/>
      <c r="HM15" s="82"/>
      <c r="HN15" s="82"/>
      <c r="HO15" s="82"/>
      <c r="HP15" s="82"/>
      <c r="HQ15" s="82"/>
      <c r="HR15" s="82"/>
      <c r="HS15" s="82"/>
      <c r="HT15" s="82"/>
      <c r="HU15" s="82"/>
      <c r="HV15" s="82"/>
      <c r="HW15" s="82"/>
      <c r="HX15" s="82"/>
      <c r="HY15" s="82"/>
      <c r="HZ15" s="82"/>
      <c r="IA15" s="82"/>
      <c r="IB15" s="82"/>
      <c r="IC15" s="82"/>
      <c r="ID15" s="82"/>
      <c r="IE15" s="82"/>
      <c r="IF15" s="82"/>
      <c r="IG15" s="82"/>
      <c r="IH15" s="82"/>
      <c r="II15" s="82"/>
      <c r="IJ15" s="82"/>
      <c r="IK15" s="82"/>
      <c r="IL15" s="82"/>
      <c r="IM15" s="82"/>
      <c r="IN15" s="82"/>
      <c r="IO15" s="82"/>
      <c r="IP15" s="82"/>
      <c r="IQ15" s="82"/>
      <c r="IR15" s="82"/>
      <c r="IS15" s="82"/>
      <c r="IT15" s="82"/>
      <c r="IU15" s="82"/>
      <c r="IV15" s="82"/>
      <c r="IW15" s="82"/>
      <c r="IX15" s="82"/>
      <c r="IY15" s="82"/>
      <c r="IZ15" s="82"/>
      <c r="JA15" s="82"/>
      <c r="JB15" s="82"/>
      <c r="JC15" s="82"/>
      <c r="JD15" s="82"/>
      <c r="JE15" s="82"/>
      <c r="JF15" s="82"/>
      <c r="JG15" s="82"/>
      <c r="JH15" s="82"/>
      <c r="JI15" s="82"/>
      <c r="JJ15" s="82"/>
      <c r="JK15" s="82"/>
      <c r="JL15" s="82"/>
      <c r="JM15" s="82"/>
      <c r="JN15" s="82"/>
      <c r="JO15" s="82"/>
      <c r="JP15" s="82"/>
      <c r="JQ15" s="82"/>
      <c r="JR15" s="82"/>
      <c r="JS15" s="82"/>
      <c r="JT15" s="82"/>
      <c r="JU15" s="82"/>
      <c r="JV15" s="82"/>
      <c r="JW15" s="82"/>
      <c r="JX15" s="82"/>
      <c r="JY15" s="82"/>
      <c r="JZ15" s="82"/>
      <c r="KA15" s="82"/>
      <c r="KB15" s="82"/>
      <c r="KC15" s="82"/>
      <c r="KD15" s="82"/>
      <c r="KE15" s="82"/>
      <c r="KF15" s="82"/>
      <c r="KG15" s="82"/>
      <c r="KH15" s="82"/>
      <c r="KI15" s="82"/>
      <c r="KJ15" s="82"/>
      <c r="KK15" s="82"/>
      <c r="KL15" s="82"/>
      <c r="KM15" s="82"/>
      <c r="KN15" s="82"/>
      <c r="KO15" s="82"/>
      <c r="KP15" s="82"/>
      <c r="KQ15" s="82"/>
      <c r="KR15" s="82"/>
      <c r="KS15" s="82"/>
      <c r="KT15" s="82"/>
      <c r="KU15" s="82"/>
      <c r="KV15" s="82"/>
      <c r="KW15" s="82"/>
      <c r="KX15" s="82"/>
      <c r="KY15" s="82"/>
      <c r="KZ15" s="82"/>
      <c r="LA15" s="82"/>
      <c r="LB15" s="82"/>
      <c r="LC15" s="82"/>
      <c r="LD15" s="82"/>
      <c r="LE15" s="82"/>
      <c r="LF15" s="82"/>
      <c r="LG15" s="82"/>
      <c r="LH15" s="82"/>
      <c r="LI15" s="82"/>
      <c r="LJ15" s="82"/>
      <c r="LK15" s="82"/>
      <c r="LL15" s="82"/>
      <c r="LM15" s="82"/>
      <c r="LN15" s="82"/>
      <c r="LO15" s="82"/>
      <c r="LP15" s="82"/>
      <c r="LQ15" s="82"/>
      <c r="LR15" s="82"/>
      <c r="LS15" s="82"/>
      <c r="LT15" s="82"/>
      <c r="LU15" s="82"/>
      <c r="LV15" s="82"/>
      <c r="LW15" s="82"/>
      <c r="LX15" s="82"/>
      <c r="LY15" s="82"/>
      <c r="LZ15" s="82"/>
      <c r="MA15" s="82"/>
      <c r="MB15" s="82"/>
      <c r="MC15" s="82"/>
      <c r="MD15" s="82"/>
      <c r="ME15" s="82"/>
      <c r="MF15" s="82"/>
      <c r="MG15" s="82"/>
      <c r="MH15" s="82"/>
      <c r="MI15" s="82"/>
      <c r="MJ15" s="82"/>
      <c r="MK15" s="82"/>
      <c r="ML15" s="82"/>
      <c r="MM15" s="82"/>
      <c r="MN15" s="82"/>
      <c r="MO15" s="82"/>
      <c r="MP15" s="82"/>
      <c r="MQ15" s="82"/>
      <c r="MR15" s="82"/>
      <c r="MS15" s="82"/>
      <c r="MT15" s="82"/>
      <c r="MU15" s="82"/>
      <c r="MV15" s="82"/>
      <c r="MW15" s="82"/>
      <c r="MX15" s="82"/>
      <c r="MY15" s="82"/>
      <c r="MZ15" s="82"/>
      <c r="NA15" s="82"/>
      <c r="NB15" s="82"/>
      <c r="NC15" s="82"/>
      <c r="ND15" s="82"/>
      <c r="NE15" s="82"/>
    </row>
    <row r="16" spans="1:1061" x14ac:dyDescent="0.2">
      <c r="A16" s="18" t="s">
        <v>167</v>
      </c>
      <c r="B16" s="210">
        <v>604</v>
      </c>
      <c r="C16" s="81">
        <v>1233</v>
      </c>
      <c r="D16" s="83"/>
      <c r="E16" s="83"/>
      <c r="F16" s="83"/>
      <c r="G16" s="83"/>
      <c r="H16" s="83"/>
      <c r="I16" s="83"/>
      <c r="J16" s="83"/>
      <c r="K16" s="83"/>
      <c r="L16" s="251">
        <v>1265</v>
      </c>
      <c r="M16" s="83"/>
      <c r="N16" s="83"/>
      <c r="O16" s="83"/>
      <c r="P16" s="83"/>
      <c r="Q16" s="83"/>
      <c r="R16" s="251">
        <v>885</v>
      </c>
      <c r="S16" s="222"/>
      <c r="T16" s="83"/>
      <c r="U16" s="251">
        <v>456</v>
      </c>
      <c r="V16" s="83"/>
      <c r="W16" s="83"/>
      <c r="X16" s="83"/>
      <c r="Y16" s="83"/>
      <c r="Z16" s="251">
        <v>1240</v>
      </c>
      <c r="AA16" s="83"/>
      <c r="AB16" s="83"/>
      <c r="AC16" s="83"/>
      <c r="AD16" s="83"/>
      <c r="AE16" s="251">
        <v>441</v>
      </c>
      <c r="AF16" s="83"/>
      <c r="AG16" s="83"/>
      <c r="AH16" s="251">
        <v>1265</v>
      </c>
      <c r="AI16" s="251">
        <v>500</v>
      </c>
      <c r="AJ16" s="83"/>
      <c r="AK16" s="83"/>
      <c r="AL16" s="83"/>
      <c r="AM16" s="83"/>
      <c r="AN16" s="251">
        <v>925</v>
      </c>
      <c r="AO16" s="251">
        <v>1008</v>
      </c>
      <c r="AP16" s="83"/>
      <c r="AQ16" s="83"/>
      <c r="AR16" s="83"/>
      <c r="AS16" s="251">
        <v>867</v>
      </c>
      <c r="AT16" s="83"/>
      <c r="AU16" s="83"/>
      <c r="AV16" s="83"/>
      <c r="AW16" s="251">
        <v>1039</v>
      </c>
      <c r="AX16" s="83"/>
      <c r="AY16" s="83"/>
      <c r="AZ16" s="83"/>
      <c r="BA16" s="83"/>
      <c r="BB16" s="83"/>
      <c r="BC16" s="251">
        <v>1377</v>
      </c>
      <c r="BD16" s="83"/>
      <c r="BE16" s="83"/>
      <c r="BF16" s="83"/>
      <c r="BG16" s="83"/>
      <c r="BH16" s="83"/>
      <c r="BI16" s="83"/>
      <c r="BJ16" s="83"/>
      <c r="BK16" s="251">
        <v>1302</v>
      </c>
      <c r="BL16" s="83"/>
      <c r="BM16" s="83"/>
      <c r="BN16" s="83"/>
      <c r="BO16" s="83"/>
      <c r="BP16" s="251">
        <v>1364</v>
      </c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251">
        <v>1319</v>
      </c>
      <c r="CC16" s="83"/>
      <c r="CD16" s="83"/>
      <c r="CE16" s="83"/>
      <c r="CF16" s="251">
        <v>1330</v>
      </c>
      <c r="CG16" s="83"/>
      <c r="CH16" s="83"/>
      <c r="CI16" s="83"/>
      <c r="CJ16" s="83"/>
      <c r="CK16" s="83"/>
      <c r="CL16" s="83"/>
      <c r="CM16" s="83"/>
      <c r="CN16" s="83"/>
      <c r="CO16" s="83"/>
      <c r="CP16" s="83"/>
      <c r="CQ16" s="251">
        <v>1192</v>
      </c>
      <c r="CR16" s="83"/>
      <c r="CS16" s="83"/>
      <c r="CT16" s="83"/>
      <c r="CU16" s="83"/>
      <c r="CV16" s="83"/>
      <c r="CW16" s="83"/>
      <c r="CX16" s="83"/>
      <c r="CY16" s="83"/>
      <c r="CZ16" s="83"/>
      <c r="DA16" s="83"/>
      <c r="DB16" s="83"/>
      <c r="DC16" s="83"/>
      <c r="DD16" s="83"/>
      <c r="DE16" s="83"/>
      <c r="DF16" s="83"/>
      <c r="DG16" s="83"/>
      <c r="DH16" s="83"/>
      <c r="DI16" s="83"/>
      <c r="DJ16" s="83"/>
      <c r="DK16" s="83"/>
      <c r="DL16" s="222">
        <v>2615</v>
      </c>
      <c r="DM16" s="83"/>
      <c r="DN16" s="83"/>
      <c r="DO16" s="83"/>
      <c r="DP16" s="83"/>
      <c r="DQ16" s="83"/>
      <c r="DR16" s="83"/>
      <c r="DS16" s="83"/>
      <c r="DT16" s="83"/>
      <c r="DU16" s="83"/>
      <c r="DV16" s="83"/>
      <c r="DW16" s="83"/>
      <c r="DX16" s="83"/>
      <c r="DY16" s="83"/>
      <c r="DZ16" s="83">
        <v>1292</v>
      </c>
      <c r="EA16" s="83"/>
      <c r="EB16" s="83"/>
      <c r="EC16" s="83"/>
      <c r="ED16" s="83"/>
      <c r="EE16" s="83"/>
      <c r="EF16" s="83"/>
      <c r="EG16" s="83"/>
      <c r="EH16" s="83"/>
      <c r="EI16" s="83"/>
      <c r="EJ16" s="83"/>
      <c r="EK16" s="83"/>
      <c r="EL16" s="83"/>
      <c r="EM16" s="83"/>
      <c r="EN16" s="83">
        <v>1355</v>
      </c>
      <c r="EO16" s="83"/>
      <c r="EP16" s="83"/>
      <c r="EQ16" s="83"/>
      <c r="ER16" s="83"/>
      <c r="ES16" s="83"/>
      <c r="ET16" s="83"/>
      <c r="EU16" s="83"/>
      <c r="EV16" s="83"/>
      <c r="EW16" s="83">
        <v>1337</v>
      </c>
      <c r="EX16" s="83"/>
      <c r="EY16" s="83"/>
      <c r="EZ16" s="83"/>
      <c r="FA16" s="83"/>
      <c r="FB16" s="83"/>
      <c r="FC16" s="83"/>
      <c r="FD16" s="83"/>
      <c r="FE16" s="83"/>
      <c r="FF16" s="83"/>
      <c r="FG16" s="83"/>
      <c r="FH16" s="83"/>
      <c r="FI16" s="83"/>
      <c r="FJ16" s="83"/>
      <c r="FK16" s="222"/>
      <c r="FL16" s="83"/>
      <c r="FM16" s="83"/>
      <c r="FN16" s="83"/>
      <c r="FO16" s="83"/>
      <c r="FP16" s="83"/>
      <c r="FQ16" s="83"/>
      <c r="FR16" s="83"/>
      <c r="FS16" s="83"/>
      <c r="FT16" s="83"/>
      <c r="FU16" s="83"/>
      <c r="FV16" s="83"/>
      <c r="FW16" s="83"/>
      <c r="FX16" s="83"/>
      <c r="FY16" s="83"/>
      <c r="FZ16" s="83"/>
      <c r="GA16" s="83"/>
      <c r="GB16" s="83"/>
      <c r="GC16" s="83"/>
      <c r="GD16" s="83"/>
      <c r="GE16" s="83"/>
      <c r="GF16" s="83"/>
      <c r="GG16" s="83"/>
      <c r="GH16" s="83"/>
      <c r="GI16" s="83"/>
      <c r="GJ16" s="83"/>
      <c r="GK16" s="83"/>
      <c r="GL16" s="83"/>
      <c r="GM16" s="83"/>
      <c r="GN16" s="83"/>
      <c r="GO16" s="83"/>
      <c r="GP16" s="83"/>
      <c r="GQ16" s="83"/>
      <c r="GR16" s="83"/>
      <c r="GS16" s="83"/>
      <c r="GT16" s="83"/>
      <c r="GU16" s="83"/>
      <c r="GV16" s="83"/>
      <c r="GW16" s="83"/>
      <c r="GX16" s="83"/>
      <c r="GY16" s="83"/>
      <c r="GZ16" s="83"/>
      <c r="HA16" s="83"/>
      <c r="HB16" s="83"/>
      <c r="HC16" s="83"/>
      <c r="HD16" s="83"/>
      <c r="HE16" s="83"/>
      <c r="HF16" s="83"/>
      <c r="HG16" s="83"/>
      <c r="HH16" s="83"/>
      <c r="HI16" s="83"/>
      <c r="HJ16" s="83"/>
      <c r="HK16" s="83"/>
      <c r="HL16" s="83"/>
      <c r="HM16" s="83"/>
      <c r="HN16" s="83"/>
      <c r="HO16" s="83"/>
      <c r="HP16" s="83"/>
      <c r="HQ16" s="83"/>
      <c r="HR16" s="83"/>
      <c r="HS16" s="83"/>
      <c r="HT16" s="83"/>
      <c r="HU16" s="83"/>
      <c r="HV16" s="83"/>
      <c r="HW16" s="83"/>
      <c r="HX16" s="83"/>
      <c r="HY16" s="83"/>
      <c r="HZ16" s="83"/>
      <c r="IA16" s="83"/>
      <c r="IB16" s="83"/>
      <c r="IC16" s="83"/>
      <c r="ID16" s="83"/>
      <c r="IE16" s="83"/>
      <c r="IF16" s="83"/>
      <c r="IG16" s="83"/>
      <c r="IH16" s="83"/>
      <c r="II16" s="83"/>
      <c r="IJ16" s="83"/>
      <c r="IK16" s="83"/>
      <c r="IL16" s="83"/>
      <c r="IM16" s="83"/>
      <c r="IN16" s="83"/>
      <c r="IO16" s="83"/>
      <c r="IP16" s="83"/>
      <c r="IQ16" s="83"/>
      <c r="IR16" s="83"/>
      <c r="IS16" s="83"/>
      <c r="IT16" s="83"/>
      <c r="IU16" s="83"/>
      <c r="IV16" s="83"/>
      <c r="IW16" s="83"/>
      <c r="IX16" s="83"/>
      <c r="IY16" s="83"/>
      <c r="IZ16" s="83"/>
      <c r="JA16" s="83"/>
      <c r="JB16" s="83"/>
      <c r="JC16" s="83"/>
      <c r="JD16" s="83"/>
      <c r="JE16" s="83"/>
      <c r="JF16" s="83"/>
      <c r="JG16" s="83"/>
      <c r="JH16" s="83"/>
      <c r="JI16" s="83"/>
      <c r="JJ16" s="83"/>
      <c r="JK16" s="83"/>
      <c r="JL16" s="83"/>
      <c r="JM16" s="83"/>
      <c r="JN16" s="83"/>
      <c r="JO16" s="83"/>
      <c r="JP16" s="83"/>
      <c r="JQ16" s="83"/>
      <c r="JR16" s="83"/>
      <c r="JS16" s="83"/>
      <c r="JT16" s="83"/>
      <c r="JU16" s="83"/>
      <c r="JV16" s="83"/>
      <c r="JW16" s="83"/>
      <c r="JX16" s="83"/>
      <c r="JY16" s="83"/>
      <c r="JZ16" s="83"/>
      <c r="KA16" s="83"/>
      <c r="KB16" s="83"/>
      <c r="KC16" s="83"/>
      <c r="KD16" s="83"/>
      <c r="KE16" s="83"/>
      <c r="KF16" s="83"/>
      <c r="KG16" s="83"/>
      <c r="KH16" s="83"/>
      <c r="KI16" s="83"/>
      <c r="KJ16" s="83"/>
      <c r="KK16" s="83"/>
      <c r="KL16" s="83"/>
      <c r="KM16" s="83"/>
      <c r="KN16" s="83"/>
      <c r="KO16" s="83"/>
      <c r="KP16" s="83"/>
      <c r="KQ16" s="83"/>
      <c r="KR16" s="83"/>
      <c r="KS16" s="83"/>
      <c r="KT16" s="83"/>
      <c r="KU16" s="83"/>
      <c r="KV16" s="83"/>
      <c r="KW16" s="83"/>
      <c r="KX16" s="83"/>
      <c r="KY16" s="83"/>
      <c r="KZ16" s="83"/>
      <c r="LA16" s="83"/>
      <c r="LB16" s="83"/>
      <c r="LC16" s="83"/>
      <c r="LD16" s="83"/>
      <c r="LE16" s="83"/>
      <c r="LF16" s="83"/>
      <c r="LG16" s="83"/>
      <c r="LH16" s="83"/>
      <c r="LI16" s="83"/>
      <c r="LJ16" s="83"/>
      <c r="LK16" s="83"/>
      <c r="LL16" s="83"/>
      <c r="LM16" s="83"/>
      <c r="LN16" s="83"/>
      <c r="LO16" s="83"/>
      <c r="LP16" s="83"/>
      <c r="LQ16" s="83"/>
      <c r="LR16" s="83"/>
      <c r="LS16" s="83"/>
      <c r="LT16" s="83"/>
      <c r="LU16" s="83"/>
      <c r="LV16" s="83"/>
      <c r="LW16" s="83"/>
      <c r="LX16" s="83"/>
      <c r="LY16" s="83"/>
      <c r="LZ16" s="83"/>
      <c r="MA16" s="83"/>
      <c r="MB16" s="83"/>
      <c r="MC16" s="83"/>
      <c r="MD16" s="83"/>
      <c r="ME16" s="83"/>
      <c r="MF16" s="83"/>
      <c r="MG16" s="83"/>
      <c r="MH16" s="83"/>
      <c r="MI16" s="83"/>
      <c r="MJ16" s="83"/>
      <c r="MK16" s="83"/>
      <c r="ML16" s="83"/>
      <c r="MM16" s="83"/>
      <c r="MN16" s="83"/>
      <c r="MO16" s="83"/>
      <c r="MP16" s="83"/>
      <c r="MQ16" s="83"/>
      <c r="MR16" s="83"/>
      <c r="MS16" s="83"/>
      <c r="MT16" s="83"/>
      <c r="MU16" s="83"/>
      <c r="MV16" s="83"/>
      <c r="MW16" s="83"/>
      <c r="MX16" s="83"/>
      <c r="MY16" s="83"/>
      <c r="MZ16" s="83"/>
      <c r="NA16" s="83"/>
      <c r="NB16" s="83"/>
      <c r="NC16" s="83"/>
      <c r="ND16" s="83"/>
      <c r="NE16" s="83"/>
    </row>
    <row r="17" spans="1:369" x14ac:dyDescent="0.2">
      <c r="A17" s="18" t="s">
        <v>10</v>
      </c>
      <c r="B17" s="210">
        <v>935</v>
      </c>
      <c r="C17" s="81">
        <v>623</v>
      </c>
      <c r="D17" s="82"/>
      <c r="E17" s="82">
        <v>890</v>
      </c>
      <c r="F17" s="82"/>
      <c r="G17" s="82"/>
      <c r="H17" s="82"/>
      <c r="I17" s="82"/>
      <c r="J17" s="82"/>
      <c r="K17" s="82">
        <v>991</v>
      </c>
      <c r="L17" s="82"/>
      <c r="M17" s="82">
        <v>903</v>
      </c>
      <c r="N17" s="82"/>
      <c r="O17" s="82"/>
      <c r="P17" s="82"/>
      <c r="Q17" s="82">
        <v>818</v>
      </c>
      <c r="R17" s="82"/>
      <c r="S17" s="82">
        <v>433</v>
      </c>
      <c r="T17" s="82">
        <v>434</v>
      </c>
      <c r="U17" s="82"/>
      <c r="V17" s="82"/>
      <c r="W17" s="82"/>
      <c r="X17" s="82"/>
      <c r="Y17" s="82">
        <v>1351</v>
      </c>
      <c r="Z17" s="82"/>
      <c r="AA17" s="82"/>
      <c r="AB17" s="82">
        <v>864</v>
      </c>
      <c r="AC17" s="82"/>
      <c r="AD17" s="82"/>
      <c r="AE17" s="82"/>
      <c r="AF17" s="82">
        <v>1046</v>
      </c>
      <c r="AG17" s="82"/>
      <c r="AH17" s="82">
        <v>1018</v>
      </c>
      <c r="AI17" s="82">
        <v>432</v>
      </c>
      <c r="AJ17" s="82"/>
      <c r="AK17" s="82"/>
      <c r="AL17" s="82">
        <v>1463</v>
      </c>
      <c r="AM17" s="82"/>
      <c r="AN17" s="82"/>
      <c r="AO17" s="82">
        <v>446</v>
      </c>
      <c r="AP17" s="82">
        <v>896</v>
      </c>
      <c r="AQ17" s="82"/>
      <c r="AR17" s="82"/>
      <c r="AS17" s="82">
        <v>456</v>
      </c>
      <c r="AT17" s="82">
        <v>294</v>
      </c>
      <c r="AU17" s="82">
        <v>878</v>
      </c>
      <c r="AV17" s="82">
        <v>864</v>
      </c>
      <c r="AW17" s="82"/>
      <c r="AX17" s="82"/>
      <c r="AY17" s="82"/>
      <c r="AZ17" s="82">
        <v>1373</v>
      </c>
      <c r="BA17" s="82"/>
      <c r="BB17" s="82">
        <v>462</v>
      </c>
      <c r="BC17" s="82">
        <v>888</v>
      </c>
      <c r="BD17" s="82">
        <v>433</v>
      </c>
      <c r="BE17" s="82"/>
      <c r="BF17" s="82"/>
      <c r="BG17" s="82">
        <v>1347</v>
      </c>
      <c r="BH17" s="82"/>
      <c r="BI17" s="82">
        <v>905</v>
      </c>
      <c r="BJ17" s="82"/>
      <c r="BK17" s="82">
        <v>892</v>
      </c>
      <c r="BL17" s="82"/>
      <c r="BM17" s="82"/>
      <c r="BN17" s="82">
        <v>421</v>
      </c>
      <c r="BO17" s="82"/>
      <c r="BP17" s="82">
        <v>864</v>
      </c>
      <c r="BQ17" s="82"/>
      <c r="BR17" s="82"/>
      <c r="BS17" s="82"/>
      <c r="BT17" s="82"/>
      <c r="BU17" s="82">
        <v>449</v>
      </c>
      <c r="BV17" s="82"/>
      <c r="BW17" s="82">
        <v>430</v>
      </c>
      <c r="BX17" s="82"/>
      <c r="BY17" s="82">
        <v>941</v>
      </c>
      <c r="BZ17" s="82"/>
      <c r="CA17" s="82"/>
      <c r="CB17" s="82"/>
      <c r="CC17" s="82"/>
      <c r="CD17" s="82">
        <v>880</v>
      </c>
      <c r="CE17" s="82"/>
      <c r="CF17" s="82"/>
      <c r="CG17" s="82"/>
      <c r="CH17" s="82"/>
      <c r="CI17" s="82">
        <v>944</v>
      </c>
      <c r="CJ17" s="82"/>
      <c r="CK17" s="82">
        <v>881</v>
      </c>
      <c r="CL17" s="82"/>
      <c r="CM17" s="82"/>
      <c r="CN17" s="82"/>
      <c r="CO17" s="82"/>
      <c r="CP17" s="82"/>
      <c r="CQ17" s="82"/>
      <c r="CR17" s="82"/>
      <c r="CS17" s="82">
        <v>840</v>
      </c>
      <c r="CT17" s="82"/>
      <c r="CU17" s="82"/>
      <c r="CV17" s="82"/>
      <c r="CW17" s="82">
        <v>400</v>
      </c>
      <c r="CX17" s="82"/>
      <c r="CY17" s="82">
        <v>900</v>
      </c>
      <c r="CZ17" s="82"/>
      <c r="DA17" s="82"/>
      <c r="DB17" s="82"/>
      <c r="DC17" s="82"/>
      <c r="DD17" s="82"/>
      <c r="DE17" s="82"/>
      <c r="DF17" s="82"/>
      <c r="DG17" s="82"/>
      <c r="DH17" s="82">
        <v>478</v>
      </c>
      <c r="DI17" s="82"/>
      <c r="DJ17" s="82"/>
      <c r="DK17" s="82"/>
      <c r="DL17" s="82"/>
      <c r="DM17" s="82"/>
      <c r="DN17" s="82">
        <v>1325</v>
      </c>
      <c r="DO17" s="82"/>
      <c r="DP17" s="82"/>
      <c r="DQ17" s="82"/>
      <c r="DR17" s="82"/>
      <c r="DS17" s="82">
        <v>429</v>
      </c>
      <c r="DT17" s="82"/>
      <c r="DU17" s="82">
        <v>432</v>
      </c>
      <c r="DV17" s="82"/>
      <c r="DW17" s="82"/>
      <c r="DX17" s="82"/>
      <c r="DY17" s="82"/>
      <c r="DZ17" s="82"/>
      <c r="EA17" s="82">
        <v>451</v>
      </c>
      <c r="EB17" s="82"/>
      <c r="EC17" s="82"/>
      <c r="ED17" s="82"/>
      <c r="EE17" s="82"/>
      <c r="EF17" s="82">
        <v>447</v>
      </c>
      <c r="EG17" s="82"/>
      <c r="EH17" s="82"/>
      <c r="EI17" s="82">
        <v>445</v>
      </c>
      <c r="EJ17" s="82"/>
      <c r="EK17" s="82"/>
      <c r="EL17" s="82"/>
      <c r="EM17" s="82"/>
      <c r="EN17" s="82"/>
      <c r="EO17" s="82"/>
      <c r="EP17" s="82">
        <v>890</v>
      </c>
      <c r="EQ17" s="82"/>
      <c r="ER17" s="82"/>
      <c r="ES17" s="82"/>
      <c r="ET17" s="82"/>
      <c r="EU17" s="82">
        <v>879</v>
      </c>
      <c r="EV17" s="82"/>
      <c r="EW17" s="82"/>
      <c r="EX17" s="82"/>
      <c r="EY17" s="82"/>
      <c r="EZ17" s="82"/>
      <c r="FA17" s="82"/>
      <c r="FB17" s="82">
        <v>432</v>
      </c>
      <c r="FC17" s="82"/>
      <c r="FD17" s="82"/>
      <c r="FE17" s="82"/>
      <c r="FF17" s="82"/>
      <c r="FG17" s="82"/>
      <c r="FH17" s="82"/>
      <c r="FI17" s="82"/>
      <c r="FJ17" s="189">
        <v>420</v>
      </c>
      <c r="FK17" s="82"/>
      <c r="FL17" s="82">
        <v>1318</v>
      </c>
      <c r="FM17" s="82"/>
      <c r="FN17" s="82"/>
      <c r="FO17" s="82"/>
      <c r="FP17" s="82"/>
      <c r="FQ17" s="82"/>
      <c r="FR17" s="82"/>
      <c r="FS17" s="82"/>
      <c r="FT17" s="82"/>
      <c r="FU17" s="82"/>
      <c r="FV17" s="82"/>
      <c r="FW17" s="82"/>
      <c r="FX17" s="82"/>
      <c r="FY17" s="82"/>
      <c r="FZ17" s="82"/>
      <c r="GA17" s="82"/>
      <c r="GB17" s="82"/>
      <c r="GC17" s="82"/>
      <c r="GD17" s="82"/>
      <c r="GE17" s="82"/>
      <c r="GF17" s="82"/>
      <c r="GG17" s="82"/>
      <c r="GH17" s="82"/>
      <c r="GI17" s="82"/>
      <c r="GJ17" s="82"/>
      <c r="GK17" s="82"/>
      <c r="GL17" s="82"/>
      <c r="GM17" s="82"/>
      <c r="GN17" s="82"/>
      <c r="GO17" s="82"/>
      <c r="GP17" s="82"/>
      <c r="GQ17" s="82"/>
      <c r="GR17" s="82"/>
      <c r="GS17" s="82"/>
      <c r="GT17" s="82"/>
      <c r="GU17" s="82"/>
      <c r="GV17" s="82"/>
      <c r="GW17" s="82"/>
      <c r="GX17" s="82"/>
      <c r="GY17" s="82"/>
      <c r="GZ17" s="82"/>
      <c r="HA17" s="82"/>
      <c r="HB17" s="82"/>
      <c r="HC17" s="82"/>
      <c r="HD17" s="82"/>
      <c r="HE17" s="82"/>
      <c r="HF17" s="82"/>
      <c r="HG17" s="82"/>
      <c r="HH17" s="82"/>
      <c r="HI17" s="82"/>
      <c r="HJ17" s="82"/>
      <c r="HK17" s="82"/>
      <c r="HL17" s="82"/>
      <c r="HM17" s="82"/>
      <c r="HN17" s="82"/>
      <c r="HO17" s="82"/>
      <c r="HP17" s="82"/>
      <c r="HQ17" s="82"/>
      <c r="HR17" s="82"/>
      <c r="HS17" s="82"/>
      <c r="HT17" s="82"/>
      <c r="HU17" s="82"/>
      <c r="HV17" s="82"/>
      <c r="HW17" s="82"/>
      <c r="HX17" s="82"/>
      <c r="HY17" s="82"/>
      <c r="HZ17" s="82"/>
      <c r="IA17" s="82"/>
      <c r="IB17" s="82"/>
      <c r="IC17" s="82"/>
      <c r="ID17" s="82"/>
      <c r="IE17" s="82"/>
      <c r="IF17" s="82"/>
      <c r="IG17" s="82"/>
      <c r="IH17" s="82"/>
      <c r="II17" s="82"/>
      <c r="IJ17" s="82"/>
      <c r="IK17" s="189"/>
      <c r="IL17" s="82"/>
      <c r="IM17" s="82"/>
      <c r="IN17" s="82"/>
      <c r="IO17" s="82"/>
      <c r="IP17" s="82"/>
      <c r="IQ17" s="82"/>
      <c r="IR17" s="82"/>
      <c r="IS17" s="82"/>
      <c r="IT17" s="82"/>
      <c r="IU17" s="82"/>
      <c r="IV17" s="82"/>
      <c r="IW17" s="82"/>
      <c r="IX17" s="82"/>
      <c r="IY17" s="82"/>
      <c r="IZ17" s="82"/>
      <c r="JA17" s="82"/>
      <c r="JB17" s="82"/>
      <c r="JC17" s="82"/>
      <c r="JD17" s="82"/>
      <c r="JE17" s="82"/>
      <c r="JF17" s="82"/>
      <c r="JG17" s="82"/>
      <c r="JH17" s="82"/>
      <c r="JI17" s="82"/>
      <c r="JJ17" s="82"/>
      <c r="JK17" s="82"/>
      <c r="JL17" s="82"/>
      <c r="JM17" s="82"/>
      <c r="JN17" s="82"/>
      <c r="JO17" s="82"/>
      <c r="JP17" s="82"/>
      <c r="JQ17" s="82"/>
      <c r="JR17" s="82"/>
      <c r="JS17" s="82"/>
      <c r="JT17" s="82"/>
      <c r="JU17" s="82"/>
      <c r="JV17" s="82"/>
      <c r="JW17" s="82"/>
      <c r="JX17" s="82"/>
      <c r="JY17" s="82"/>
      <c r="JZ17" s="82"/>
      <c r="KA17" s="82"/>
      <c r="KB17" s="82"/>
      <c r="KC17" s="82"/>
      <c r="KD17" s="82"/>
      <c r="KE17" s="82"/>
      <c r="KF17" s="82"/>
      <c r="KG17" s="82"/>
      <c r="KH17" s="82"/>
      <c r="KI17" s="82"/>
      <c r="KJ17" s="82"/>
      <c r="KK17" s="82"/>
      <c r="KL17" s="82"/>
      <c r="KM17" s="82"/>
      <c r="KN17" s="82"/>
      <c r="KO17" s="82"/>
      <c r="KP17" s="82"/>
      <c r="KQ17" s="82"/>
      <c r="KR17" s="82"/>
      <c r="KS17" s="82"/>
      <c r="KT17" s="82"/>
      <c r="KU17" s="82"/>
      <c r="KV17" s="82"/>
      <c r="KW17" s="82"/>
      <c r="KX17" s="82"/>
      <c r="KY17" s="82"/>
      <c r="KZ17" s="82"/>
      <c r="LA17" s="82"/>
      <c r="LB17" s="82"/>
      <c r="LC17" s="82"/>
      <c r="LD17" s="82"/>
      <c r="LE17" s="82"/>
      <c r="LF17" s="82"/>
      <c r="LG17" s="82"/>
      <c r="LH17" s="82"/>
      <c r="LI17" s="82"/>
      <c r="LJ17" s="82"/>
      <c r="LK17" s="82"/>
      <c r="LL17" s="82"/>
      <c r="LM17" s="82"/>
      <c r="LN17" s="82"/>
      <c r="LO17" s="82"/>
      <c r="LP17" s="82"/>
      <c r="LQ17" s="82"/>
      <c r="LR17" s="82"/>
      <c r="LS17" s="82"/>
      <c r="LT17" s="82"/>
      <c r="LU17" s="82"/>
      <c r="LV17" s="82"/>
      <c r="LW17" s="82"/>
      <c r="LX17" s="82"/>
      <c r="LY17" s="82"/>
      <c r="LZ17" s="82"/>
      <c r="MA17" s="82"/>
      <c r="MB17" s="82"/>
      <c r="MC17" s="82"/>
      <c r="MD17" s="82"/>
      <c r="ME17" s="82"/>
      <c r="MF17" s="82"/>
      <c r="MG17" s="82"/>
      <c r="MH17" s="82"/>
      <c r="MI17" s="82"/>
      <c r="MJ17" s="82"/>
      <c r="MK17" s="82"/>
      <c r="ML17" s="82"/>
      <c r="MM17" s="82"/>
      <c r="MN17" s="82"/>
      <c r="MO17" s="82"/>
      <c r="MP17" s="82"/>
      <c r="MQ17" s="82"/>
      <c r="MR17" s="82"/>
      <c r="MS17" s="82"/>
      <c r="MT17" s="82"/>
      <c r="MU17" s="82"/>
      <c r="MV17" s="82"/>
      <c r="MW17" s="82"/>
      <c r="MX17" s="82"/>
      <c r="MY17" s="82"/>
      <c r="MZ17" s="82"/>
      <c r="NA17" s="82"/>
      <c r="NB17" s="82"/>
      <c r="NC17" s="82"/>
      <c r="ND17" s="82"/>
      <c r="NE17" s="82"/>
    </row>
    <row r="18" spans="1:369" s="229" customFormat="1" ht="16" thickBot="1" x14ac:dyDescent="0.25">
      <c r="A18" s="256" t="s">
        <v>11</v>
      </c>
      <c r="B18" s="257">
        <v>393</v>
      </c>
      <c r="C18" s="233">
        <v>407</v>
      </c>
      <c r="D18" s="258"/>
      <c r="E18" s="258"/>
      <c r="F18" s="258"/>
      <c r="G18" s="258"/>
      <c r="H18" s="258"/>
      <c r="I18" s="258"/>
      <c r="J18" s="258">
        <v>264</v>
      </c>
      <c r="K18" s="258"/>
      <c r="L18" s="258"/>
      <c r="M18" s="258">
        <v>409</v>
      </c>
      <c r="N18" s="258"/>
      <c r="O18" s="258"/>
      <c r="P18" s="258"/>
      <c r="Q18" s="258"/>
      <c r="R18" s="258">
        <v>414</v>
      </c>
      <c r="S18" s="258"/>
      <c r="T18" s="258"/>
      <c r="U18" s="258">
        <v>413</v>
      </c>
      <c r="V18" s="258"/>
      <c r="W18" s="258"/>
      <c r="X18" s="258"/>
      <c r="Y18" s="258"/>
      <c r="Z18" s="258">
        <v>424</v>
      </c>
      <c r="AA18" s="258"/>
      <c r="AB18" s="258"/>
      <c r="AC18" s="258"/>
      <c r="AD18" s="258"/>
      <c r="AE18" s="258">
        <v>832</v>
      </c>
      <c r="AF18" s="258"/>
      <c r="AG18" s="258"/>
      <c r="AH18" s="258"/>
      <c r="AI18" s="258">
        <v>264</v>
      </c>
      <c r="AJ18" s="258"/>
      <c r="AK18" s="258"/>
      <c r="AL18" s="258">
        <v>517</v>
      </c>
      <c r="AM18" s="258"/>
      <c r="AN18" s="258"/>
      <c r="AO18" s="258">
        <v>415</v>
      </c>
      <c r="AP18" s="258"/>
      <c r="AQ18" s="258"/>
      <c r="AR18" s="258"/>
      <c r="AS18" s="258">
        <v>825</v>
      </c>
      <c r="AT18" s="258"/>
      <c r="AU18" s="258"/>
      <c r="AV18" s="258"/>
      <c r="AW18" s="258">
        <v>414</v>
      </c>
      <c r="AX18" s="258"/>
      <c r="AY18" s="258"/>
      <c r="AZ18" s="258">
        <v>427</v>
      </c>
      <c r="BA18" s="258"/>
      <c r="BB18" s="258"/>
      <c r="BC18" s="258">
        <v>414</v>
      </c>
      <c r="BD18" s="258">
        <v>422</v>
      </c>
      <c r="BE18" s="258"/>
      <c r="BF18" s="258"/>
      <c r="BG18" s="258"/>
      <c r="BH18" s="258">
        <v>387</v>
      </c>
      <c r="BI18" s="258">
        <v>410</v>
      </c>
      <c r="BJ18" s="258"/>
      <c r="BK18" s="258"/>
      <c r="BL18" s="258"/>
      <c r="BM18" s="258"/>
      <c r="BN18" s="258">
        <v>400</v>
      </c>
      <c r="BO18" s="258"/>
      <c r="BP18" s="258">
        <v>408</v>
      </c>
      <c r="BQ18" s="258"/>
      <c r="BR18" s="258"/>
      <c r="BS18" s="258"/>
      <c r="BT18" s="258"/>
      <c r="BU18" s="258"/>
      <c r="BV18" s="258"/>
      <c r="BW18" s="258"/>
      <c r="BX18" s="258">
        <v>819</v>
      </c>
      <c r="BY18" s="258"/>
      <c r="BZ18" s="258"/>
      <c r="CA18" s="258"/>
      <c r="CB18" s="258">
        <v>405</v>
      </c>
      <c r="CC18" s="258"/>
      <c r="CD18" s="258"/>
      <c r="CE18" s="258"/>
      <c r="CF18" s="258"/>
      <c r="CG18" s="258"/>
      <c r="CH18" s="258"/>
      <c r="CI18" s="258">
        <v>400</v>
      </c>
      <c r="CJ18" s="258"/>
      <c r="CK18" s="258"/>
      <c r="CL18" s="258"/>
      <c r="CM18" s="258">
        <v>408</v>
      </c>
      <c r="CN18" s="258"/>
      <c r="CO18" s="258"/>
      <c r="CP18" s="258"/>
      <c r="CQ18" s="258"/>
      <c r="CR18" s="258"/>
      <c r="CS18" s="258"/>
      <c r="CT18" s="258"/>
      <c r="CU18" s="258"/>
      <c r="CV18" s="258"/>
      <c r="CW18" s="258"/>
      <c r="CX18" s="258"/>
      <c r="CY18" s="258">
        <v>420</v>
      </c>
      <c r="CZ18" s="258"/>
      <c r="DA18" s="258"/>
      <c r="DB18" s="258"/>
      <c r="DC18" s="258"/>
      <c r="DD18" s="258">
        <v>1240</v>
      </c>
      <c r="DE18" s="258"/>
      <c r="DF18" s="258"/>
      <c r="DG18" s="258"/>
      <c r="DH18" s="258"/>
      <c r="DI18" s="258"/>
      <c r="DJ18" s="258"/>
      <c r="DK18" s="258"/>
      <c r="DL18" s="258"/>
      <c r="DM18" s="258"/>
      <c r="DN18" s="258"/>
      <c r="DO18" s="258"/>
      <c r="DP18" s="258"/>
      <c r="DQ18" s="258"/>
      <c r="DR18" s="258"/>
      <c r="DS18" s="258"/>
      <c r="DT18" s="258"/>
      <c r="DU18" s="258"/>
      <c r="DV18" s="258"/>
      <c r="DW18" s="258"/>
      <c r="DX18" s="258"/>
      <c r="DY18" s="258"/>
      <c r="DZ18" s="258"/>
      <c r="EA18" s="258"/>
      <c r="EB18" s="258"/>
      <c r="EC18" s="258"/>
      <c r="ED18" s="258"/>
      <c r="EE18" s="258"/>
      <c r="EF18" s="258"/>
      <c r="EG18" s="258"/>
      <c r="EH18" s="258"/>
      <c r="EI18" s="258"/>
      <c r="EJ18" s="258"/>
      <c r="EK18" s="258"/>
      <c r="EL18" s="258"/>
      <c r="EM18" s="258"/>
      <c r="EN18" s="258">
        <v>415</v>
      </c>
      <c r="EO18" s="258"/>
      <c r="EP18" s="258"/>
      <c r="EQ18" s="258"/>
      <c r="ER18" s="258"/>
      <c r="ES18" s="258"/>
      <c r="ET18" s="258"/>
      <c r="EU18" s="258"/>
      <c r="EV18" s="258"/>
      <c r="EW18" s="258">
        <v>423</v>
      </c>
      <c r="EX18" s="258"/>
      <c r="EY18" s="258"/>
      <c r="EZ18" s="258"/>
      <c r="FA18" s="258"/>
      <c r="FB18" s="258"/>
      <c r="FC18" s="258"/>
      <c r="FD18" s="258"/>
      <c r="FE18" s="258"/>
      <c r="FF18" s="258"/>
      <c r="FG18" s="258"/>
      <c r="FH18" s="258"/>
      <c r="FI18" s="258">
        <v>384</v>
      </c>
      <c r="FJ18" s="258"/>
      <c r="FK18" s="258"/>
      <c r="FL18" s="258"/>
      <c r="FM18" s="258"/>
      <c r="FN18" s="258"/>
      <c r="FO18" s="258"/>
      <c r="FP18" s="258"/>
      <c r="FQ18" s="258"/>
      <c r="FR18" s="258"/>
      <c r="FS18" s="258"/>
      <c r="FT18" s="258"/>
      <c r="FU18" s="258"/>
      <c r="FV18" s="258"/>
      <c r="FW18" s="258"/>
      <c r="FX18" s="258"/>
      <c r="FY18" s="258"/>
      <c r="FZ18" s="258"/>
      <c r="GA18" s="258"/>
      <c r="GB18" s="258"/>
      <c r="GC18" s="258"/>
      <c r="GD18" s="258"/>
      <c r="GE18" s="258"/>
      <c r="GF18" s="258"/>
      <c r="GG18" s="258"/>
      <c r="GH18" s="258"/>
      <c r="GI18" s="258"/>
      <c r="GJ18" s="258"/>
      <c r="GK18" s="258"/>
      <c r="GL18" s="258"/>
      <c r="GM18" s="258"/>
      <c r="GN18" s="258"/>
      <c r="GO18" s="258"/>
      <c r="GP18" s="258"/>
      <c r="GQ18" s="258"/>
      <c r="GR18" s="258"/>
      <c r="GS18" s="258"/>
      <c r="GT18" s="258"/>
      <c r="GU18" s="258"/>
      <c r="GV18" s="258"/>
      <c r="GW18" s="258"/>
      <c r="GX18" s="258"/>
      <c r="GY18" s="258"/>
      <c r="GZ18" s="258"/>
      <c r="HA18" s="258"/>
      <c r="HB18" s="258"/>
      <c r="HC18" s="258"/>
      <c r="HD18" s="258"/>
      <c r="HE18" s="258"/>
      <c r="HF18" s="258"/>
      <c r="HG18" s="258"/>
      <c r="HH18" s="258"/>
      <c r="HI18" s="258"/>
      <c r="HJ18" s="258"/>
      <c r="HK18" s="258"/>
      <c r="HL18" s="258"/>
      <c r="HM18" s="258"/>
      <c r="HN18" s="258"/>
      <c r="HO18" s="258"/>
      <c r="HP18" s="258"/>
      <c r="HQ18" s="258"/>
      <c r="HR18" s="258"/>
      <c r="HS18" s="258"/>
      <c r="HT18" s="258"/>
      <c r="HU18" s="258"/>
      <c r="HV18" s="258"/>
      <c r="HW18" s="258"/>
      <c r="HX18" s="258"/>
      <c r="HY18" s="258"/>
      <c r="HZ18" s="258"/>
      <c r="IA18" s="258"/>
      <c r="IB18" s="258"/>
      <c r="IC18" s="258"/>
      <c r="ID18" s="258"/>
      <c r="IE18" s="258"/>
      <c r="IF18" s="258"/>
      <c r="IG18" s="258"/>
      <c r="IH18" s="258"/>
      <c r="II18" s="258"/>
      <c r="IJ18" s="258"/>
      <c r="IK18" s="258"/>
      <c r="IL18" s="258"/>
      <c r="IM18" s="258"/>
      <c r="IN18" s="258"/>
      <c r="IO18" s="258"/>
      <c r="IP18" s="258"/>
      <c r="IQ18" s="258"/>
      <c r="IR18" s="258"/>
      <c r="IS18" s="258"/>
      <c r="IT18" s="258"/>
      <c r="IU18" s="258"/>
      <c r="IV18" s="258"/>
      <c r="IW18" s="258"/>
      <c r="IX18" s="258"/>
      <c r="IY18" s="258"/>
      <c r="IZ18" s="258"/>
      <c r="JA18" s="258"/>
      <c r="JB18" s="258"/>
      <c r="JC18" s="258"/>
      <c r="JD18" s="258"/>
      <c r="JE18" s="258"/>
      <c r="JF18" s="258"/>
      <c r="JG18" s="258"/>
      <c r="JH18" s="258"/>
      <c r="JI18" s="258"/>
      <c r="JJ18" s="258"/>
      <c r="JK18" s="258"/>
      <c r="JL18" s="258"/>
      <c r="JM18" s="258"/>
      <c r="JN18" s="258"/>
      <c r="JO18" s="258"/>
      <c r="JP18" s="258"/>
      <c r="JQ18" s="258"/>
      <c r="JR18" s="258"/>
      <c r="JS18" s="258"/>
      <c r="JT18" s="258"/>
      <c r="JU18" s="258"/>
      <c r="JV18" s="258"/>
      <c r="JW18" s="258"/>
      <c r="JX18" s="258"/>
      <c r="JY18" s="258"/>
      <c r="JZ18" s="258"/>
      <c r="KA18" s="258"/>
      <c r="KB18" s="258"/>
      <c r="KC18" s="258"/>
      <c r="KD18" s="258"/>
      <c r="KE18" s="258"/>
      <c r="KF18" s="258"/>
      <c r="KG18" s="258"/>
      <c r="KH18" s="258"/>
      <c r="KI18" s="258"/>
      <c r="KJ18" s="258"/>
      <c r="KK18" s="258"/>
      <c r="KL18" s="258"/>
      <c r="KM18" s="258"/>
      <c r="KN18" s="258"/>
      <c r="KO18" s="258"/>
      <c r="KP18" s="258"/>
      <c r="KQ18" s="258"/>
      <c r="KR18" s="258"/>
      <c r="KS18" s="258"/>
      <c r="KT18" s="258"/>
      <c r="KU18" s="258"/>
      <c r="KV18" s="258"/>
      <c r="KW18" s="258"/>
      <c r="KX18" s="258"/>
      <c r="KY18" s="258"/>
      <c r="KZ18" s="258"/>
      <c r="LA18" s="258"/>
      <c r="LB18" s="258"/>
      <c r="LC18" s="258"/>
      <c r="LD18" s="258"/>
      <c r="LE18" s="258"/>
      <c r="LF18" s="258"/>
      <c r="LG18" s="258"/>
      <c r="LH18" s="258"/>
      <c r="LI18" s="258"/>
      <c r="LJ18" s="258"/>
      <c r="LK18" s="258"/>
      <c r="LL18" s="258"/>
      <c r="LM18" s="258"/>
      <c r="LN18" s="258"/>
      <c r="LO18" s="258"/>
      <c r="LP18" s="258"/>
      <c r="LQ18" s="258"/>
      <c r="LR18" s="258"/>
      <c r="LS18" s="258"/>
      <c r="LT18" s="258"/>
      <c r="LU18" s="258"/>
      <c r="LV18" s="258"/>
      <c r="LW18" s="258"/>
      <c r="LX18" s="258"/>
      <c r="LY18" s="258"/>
      <c r="LZ18" s="258"/>
      <c r="MA18" s="258"/>
      <c r="MB18" s="258"/>
      <c r="MC18" s="258"/>
      <c r="MD18" s="258"/>
      <c r="ME18" s="258"/>
      <c r="MF18" s="258"/>
      <c r="MG18" s="258"/>
      <c r="MH18" s="258"/>
      <c r="MI18" s="258"/>
      <c r="MJ18" s="258"/>
      <c r="MK18" s="258"/>
      <c r="ML18" s="258"/>
      <c r="MM18" s="258"/>
      <c r="MN18" s="258"/>
      <c r="MO18" s="258"/>
      <c r="MP18" s="254"/>
      <c r="MQ18" s="258"/>
      <c r="MR18" s="258"/>
      <c r="MS18" s="258"/>
      <c r="MT18" s="258"/>
      <c r="MU18" s="258"/>
      <c r="MV18" s="258"/>
      <c r="MW18" s="258"/>
      <c r="MX18" s="258"/>
      <c r="MY18" s="258"/>
      <c r="MZ18" s="258"/>
      <c r="NA18" s="258"/>
      <c r="NB18" s="258"/>
      <c r="NC18" s="258"/>
      <c r="ND18" s="258"/>
      <c r="NE18" s="258"/>
    </row>
    <row r="19" spans="1:369" ht="16" thickBot="1" x14ac:dyDescent="0.25">
      <c r="A19" s="23" t="s">
        <v>6</v>
      </c>
      <c r="B19" s="211"/>
      <c r="C19" s="86"/>
      <c r="D19" s="87"/>
      <c r="E19" s="87">
        <v>50</v>
      </c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>
        <v>82</v>
      </c>
      <c r="U19" s="87"/>
      <c r="V19" s="87"/>
      <c r="W19" s="87"/>
      <c r="X19" s="87"/>
      <c r="Y19" s="87"/>
      <c r="Z19" s="87"/>
      <c r="AA19" s="87">
        <v>125</v>
      </c>
      <c r="AB19" s="87"/>
      <c r="AC19" s="87"/>
      <c r="AD19" s="87"/>
      <c r="AE19" s="87"/>
      <c r="AF19" s="87"/>
      <c r="AG19" s="87"/>
      <c r="AH19" s="87">
        <v>80</v>
      </c>
      <c r="AI19" s="87"/>
      <c r="AJ19" s="87"/>
      <c r="AK19" s="87"/>
      <c r="AL19" s="87"/>
      <c r="AM19" s="87">
        <v>210</v>
      </c>
      <c r="AN19" s="87"/>
      <c r="AO19" s="87"/>
      <c r="AP19" s="234"/>
      <c r="AQ19" s="87"/>
      <c r="AR19" s="87"/>
      <c r="AS19" s="87">
        <v>140</v>
      </c>
      <c r="AT19" s="87"/>
      <c r="AU19" s="87"/>
      <c r="AV19" s="87"/>
      <c r="AW19" s="87">
        <v>116</v>
      </c>
      <c r="AX19" s="87"/>
      <c r="AY19" s="87"/>
      <c r="AZ19" s="87"/>
      <c r="BA19" s="87">
        <v>20</v>
      </c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>
        <v>29</v>
      </c>
      <c r="CE19" s="87"/>
      <c r="CF19" s="87">
        <v>60</v>
      </c>
      <c r="CG19" s="87"/>
      <c r="CH19" s="87"/>
      <c r="CI19" s="87"/>
      <c r="CJ19" s="87"/>
      <c r="CK19" s="87"/>
      <c r="CL19" s="87"/>
      <c r="CM19" s="87">
        <v>127</v>
      </c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>
        <v>72</v>
      </c>
      <c r="DG19" s="87"/>
      <c r="DH19" s="87"/>
      <c r="DI19" s="80"/>
      <c r="DJ19" s="87"/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7"/>
      <c r="DV19" s="87"/>
      <c r="DW19" s="87"/>
      <c r="DX19" s="87"/>
      <c r="DY19" s="87"/>
      <c r="DZ19" s="87"/>
      <c r="EA19" s="87"/>
      <c r="EB19" s="87"/>
      <c r="EC19" s="87"/>
      <c r="ED19" s="87"/>
      <c r="EE19" s="87"/>
      <c r="EF19" s="87"/>
      <c r="EG19" s="87"/>
      <c r="EH19" s="87"/>
      <c r="EI19" s="87"/>
      <c r="EJ19" s="87"/>
      <c r="EK19" s="87"/>
      <c r="EL19" s="87"/>
      <c r="EM19" s="87"/>
      <c r="EN19" s="87"/>
      <c r="EO19" s="87"/>
      <c r="EP19" s="87"/>
      <c r="EQ19" s="87"/>
      <c r="ER19" s="87"/>
      <c r="ES19" s="87"/>
      <c r="ET19" s="87"/>
      <c r="EU19" s="87"/>
      <c r="EV19" s="87"/>
      <c r="EW19" s="87"/>
      <c r="EX19" s="87"/>
      <c r="EY19" s="87"/>
      <c r="EZ19" s="87"/>
      <c r="FA19" s="87"/>
      <c r="FB19" s="87"/>
      <c r="FC19" s="87"/>
      <c r="FD19" s="87"/>
      <c r="FE19" s="87"/>
      <c r="FF19" s="87"/>
      <c r="FG19" s="87"/>
      <c r="FH19" s="87"/>
      <c r="FI19" s="87"/>
      <c r="FJ19" s="87"/>
      <c r="FK19" s="87"/>
      <c r="FL19" s="87"/>
      <c r="FM19" s="87"/>
      <c r="FN19" s="87"/>
      <c r="FO19" s="87"/>
      <c r="FP19" s="87"/>
      <c r="FQ19" s="87"/>
      <c r="FR19" s="87"/>
      <c r="FS19" s="87"/>
      <c r="FT19" s="87"/>
      <c r="FU19" s="87"/>
      <c r="FV19" s="87"/>
      <c r="FW19" s="87"/>
      <c r="FX19" s="87"/>
      <c r="FY19" s="87"/>
      <c r="FZ19" s="87"/>
      <c r="GA19" s="87"/>
      <c r="GB19" s="87"/>
      <c r="GC19" s="87"/>
      <c r="GD19" s="87"/>
      <c r="GE19" s="87"/>
      <c r="GF19" s="87"/>
      <c r="GG19" s="87"/>
      <c r="GH19" s="87"/>
      <c r="GI19" s="87"/>
      <c r="GJ19" s="87"/>
      <c r="GK19" s="87"/>
      <c r="GL19" s="87"/>
      <c r="GM19" s="87"/>
      <c r="GN19" s="87"/>
      <c r="GO19" s="87"/>
      <c r="GP19" s="87"/>
      <c r="GQ19" s="87"/>
      <c r="GR19" s="87"/>
      <c r="GS19" s="87"/>
      <c r="GT19" s="87"/>
      <c r="GU19" s="87"/>
      <c r="GV19" s="87"/>
      <c r="GW19" s="87"/>
      <c r="GX19" s="87"/>
      <c r="GY19" s="87"/>
      <c r="GZ19" s="87"/>
      <c r="HA19" s="87"/>
      <c r="HB19" s="87"/>
      <c r="HC19" s="87"/>
      <c r="HD19" s="87"/>
      <c r="HE19" s="87"/>
      <c r="HF19" s="87"/>
      <c r="HG19" s="87"/>
      <c r="HH19" s="87"/>
      <c r="HI19" s="87"/>
      <c r="HJ19" s="87"/>
      <c r="HK19" s="87"/>
      <c r="HL19" s="87"/>
      <c r="HM19" s="87"/>
      <c r="HN19" s="87"/>
      <c r="HO19" s="87"/>
      <c r="HP19" s="87"/>
      <c r="HQ19" s="87"/>
      <c r="HR19" s="87"/>
      <c r="HS19" s="87"/>
      <c r="HT19" s="87"/>
      <c r="HU19" s="87"/>
      <c r="HV19" s="87"/>
      <c r="HW19" s="87"/>
      <c r="HX19" s="87"/>
      <c r="HY19" s="87"/>
      <c r="HZ19" s="87"/>
      <c r="IA19" s="87"/>
      <c r="IB19" s="87"/>
      <c r="IC19" s="87"/>
      <c r="ID19" s="87"/>
      <c r="IE19" s="87"/>
      <c r="IF19" s="87"/>
      <c r="IG19" s="87"/>
      <c r="IH19" s="87"/>
      <c r="II19" s="87"/>
      <c r="IJ19" s="87"/>
      <c r="IK19" s="87"/>
      <c r="IL19" s="87"/>
      <c r="IM19" s="87"/>
      <c r="IN19" s="87"/>
      <c r="IO19" s="87"/>
      <c r="IP19" s="87"/>
      <c r="IQ19" s="87"/>
      <c r="IR19" s="87"/>
      <c r="IS19" s="87"/>
      <c r="IT19" s="87"/>
      <c r="IU19" s="87"/>
      <c r="IV19" s="87"/>
      <c r="IW19" s="87"/>
      <c r="IX19" s="87"/>
      <c r="IY19" s="87"/>
      <c r="IZ19" s="87"/>
      <c r="JA19" s="87"/>
      <c r="JB19" s="87"/>
      <c r="JC19" s="87"/>
      <c r="JD19" s="87"/>
      <c r="JE19" s="87"/>
      <c r="JF19" s="87"/>
      <c r="JG19" s="87"/>
      <c r="JH19" s="87"/>
      <c r="JI19" s="87"/>
      <c r="JJ19" s="87"/>
      <c r="JK19" s="87"/>
      <c r="JL19" s="87"/>
      <c r="JM19" s="87"/>
      <c r="JN19" s="87"/>
      <c r="JO19" s="87"/>
      <c r="JP19" s="87"/>
      <c r="JQ19" s="87"/>
      <c r="JR19" s="87"/>
      <c r="JS19" s="87"/>
      <c r="JT19" s="87"/>
      <c r="JU19" s="87"/>
      <c r="JV19" s="87"/>
      <c r="JW19" s="87"/>
      <c r="JX19" s="87"/>
      <c r="JY19" s="87"/>
      <c r="JZ19" s="87"/>
      <c r="KA19" s="87"/>
      <c r="KB19" s="87"/>
      <c r="KC19" s="87"/>
      <c r="KD19" s="87"/>
      <c r="KE19" s="87"/>
      <c r="KF19" s="87"/>
      <c r="KG19" s="87"/>
      <c r="KH19" s="87"/>
      <c r="KI19" s="87"/>
      <c r="KJ19" s="87"/>
      <c r="KK19" s="87"/>
      <c r="KL19" s="87"/>
      <c r="KM19" s="87"/>
      <c r="KN19" s="87"/>
      <c r="KO19" s="87"/>
      <c r="KP19" s="87"/>
      <c r="KQ19" s="87"/>
      <c r="KR19" s="87"/>
      <c r="KS19" s="87"/>
      <c r="KT19" s="87"/>
      <c r="KU19" s="87"/>
      <c r="KV19" s="87"/>
      <c r="KW19" s="87"/>
      <c r="KX19" s="87"/>
      <c r="KY19" s="87"/>
      <c r="KZ19" s="87"/>
      <c r="LA19" s="87"/>
      <c r="LB19" s="87"/>
      <c r="LC19" s="87"/>
      <c r="LD19" s="87"/>
      <c r="LE19" s="87"/>
      <c r="LF19" s="87"/>
      <c r="LG19" s="87"/>
      <c r="LH19" s="87"/>
      <c r="LI19" s="87"/>
      <c r="LJ19" s="87"/>
      <c r="LK19" s="87"/>
      <c r="LL19" s="87"/>
      <c r="LM19" s="87"/>
      <c r="LN19" s="87"/>
      <c r="LO19" s="87"/>
      <c r="LP19" s="87"/>
      <c r="LQ19" s="87"/>
      <c r="LR19" s="87"/>
      <c r="LS19" s="87"/>
      <c r="LT19" s="87"/>
      <c r="LU19" s="87"/>
      <c r="LV19" s="87"/>
      <c r="LW19" s="87"/>
      <c r="LX19" s="87"/>
      <c r="LY19" s="87"/>
      <c r="LZ19" s="87"/>
      <c r="MA19" s="87"/>
      <c r="MB19" s="87"/>
      <c r="MC19" s="87"/>
      <c r="MD19" s="87"/>
      <c r="ME19" s="87"/>
      <c r="MF19" s="87"/>
      <c r="MG19" s="87"/>
      <c r="MH19" s="87"/>
      <c r="MI19" s="87"/>
      <c r="MJ19" s="87"/>
      <c r="MK19" s="87"/>
      <c r="ML19" s="87"/>
      <c r="MM19" s="87"/>
      <c r="MN19" s="87"/>
      <c r="MO19" s="87"/>
      <c r="MP19" s="87"/>
      <c r="MQ19" s="87"/>
      <c r="MR19" s="87"/>
      <c r="MS19" s="87"/>
      <c r="MT19" s="87"/>
      <c r="MU19" s="87"/>
      <c r="MV19" s="87"/>
      <c r="MW19" s="87"/>
      <c r="MX19" s="87"/>
      <c r="MY19" s="87"/>
      <c r="MZ19" s="87"/>
      <c r="NA19" s="87"/>
      <c r="NB19" s="87"/>
      <c r="NC19" s="87"/>
      <c r="ND19" s="87"/>
      <c r="NE19" s="87"/>
    </row>
    <row r="20" spans="1:369" s="229" customFormat="1" x14ac:dyDescent="0.2">
      <c r="A20" s="242" t="s">
        <v>7</v>
      </c>
      <c r="B20" s="243"/>
      <c r="C20" s="244"/>
      <c r="D20" s="189">
        <v>106</v>
      </c>
      <c r="E20" s="189"/>
      <c r="F20" s="189"/>
      <c r="G20" s="189"/>
      <c r="H20" s="189"/>
      <c r="I20" s="189"/>
      <c r="J20" s="189">
        <v>100</v>
      </c>
      <c r="K20" s="189"/>
      <c r="L20" s="189">
        <v>73</v>
      </c>
      <c r="M20" s="189">
        <v>27</v>
      </c>
      <c r="N20" s="189">
        <v>75</v>
      </c>
      <c r="O20" s="189"/>
      <c r="P20" s="189"/>
      <c r="Q20" s="189">
        <v>55</v>
      </c>
      <c r="R20" s="189">
        <v>135</v>
      </c>
      <c r="S20" s="189">
        <v>124</v>
      </c>
      <c r="T20" s="189">
        <v>120</v>
      </c>
      <c r="U20" s="189">
        <v>93</v>
      </c>
      <c r="V20" s="189"/>
      <c r="W20" s="189"/>
      <c r="X20" s="189"/>
      <c r="Y20" s="189">
        <v>94</v>
      </c>
      <c r="Z20" s="189">
        <v>104</v>
      </c>
      <c r="AA20" s="189"/>
      <c r="AB20" s="189">
        <v>77</v>
      </c>
      <c r="AC20" s="189"/>
      <c r="AD20" s="189"/>
      <c r="AE20" s="189">
        <v>83</v>
      </c>
      <c r="AF20" s="189"/>
      <c r="AG20" s="189">
        <v>85</v>
      </c>
      <c r="AH20" s="189">
        <v>74</v>
      </c>
      <c r="AI20" s="189">
        <v>45</v>
      </c>
      <c r="AJ20" s="189"/>
      <c r="AK20" s="189"/>
      <c r="AL20" s="189">
        <v>29</v>
      </c>
      <c r="AM20" s="189">
        <v>123</v>
      </c>
      <c r="AN20" s="189">
        <v>93</v>
      </c>
      <c r="AO20" s="189">
        <v>48</v>
      </c>
      <c r="AP20" s="189">
        <v>87</v>
      </c>
      <c r="AQ20" s="189"/>
      <c r="AR20" s="189"/>
      <c r="AS20" s="189">
        <v>20</v>
      </c>
      <c r="AT20" s="189">
        <v>145</v>
      </c>
      <c r="AU20" s="189"/>
      <c r="AV20" s="189">
        <v>171</v>
      </c>
      <c r="AW20" s="189">
        <v>35</v>
      </c>
      <c r="AX20" s="189"/>
      <c r="AY20" s="189"/>
      <c r="AZ20" s="189"/>
      <c r="BA20" s="189">
        <v>210</v>
      </c>
      <c r="BB20" s="189"/>
      <c r="BC20" s="189">
        <v>56</v>
      </c>
      <c r="BD20" s="189">
        <v>169</v>
      </c>
      <c r="BE20" s="189"/>
      <c r="BF20" s="189"/>
      <c r="BG20" s="189"/>
      <c r="BH20" s="189">
        <v>289</v>
      </c>
      <c r="BI20" s="189">
        <v>125</v>
      </c>
      <c r="BJ20" s="189">
        <v>125</v>
      </c>
      <c r="BK20" s="189">
        <v>75</v>
      </c>
      <c r="BL20" s="189"/>
      <c r="BM20" s="189"/>
      <c r="BN20" s="189"/>
      <c r="BO20" s="189">
        <v>188</v>
      </c>
      <c r="BP20" s="189"/>
      <c r="BQ20" s="189">
        <v>244</v>
      </c>
      <c r="BR20" s="189">
        <v>140</v>
      </c>
      <c r="BS20" s="189"/>
      <c r="BT20" s="189"/>
      <c r="BU20" s="189">
        <v>87</v>
      </c>
      <c r="BV20" s="189">
        <v>115</v>
      </c>
      <c r="BW20" s="189">
        <v>142</v>
      </c>
      <c r="BX20" s="189"/>
      <c r="BY20" s="189">
        <v>117</v>
      </c>
      <c r="BZ20" s="189"/>
      <c r="CA20" s="189"/>
      <c r="CB20" s="189"/>
      <c r="CC20" s="189">
        <v>99</v>
      </c>
      <c r="CD20" s="189">
        <v>204</v>
      </c>
      <c r="CE20" s="189">
        <v>205</v>
      </c>
      <c r="CF20" s="189"/>
      <c r="CG20" s="189"/>
      <c r="CH20" s="189"/>
      <c r="CI20" s="189">
        <v>62</v>
      </c>
      <c r="CJ20" s="189">
        <v>200</v>
      </c>
      <c r="CK20" s="189"/>
      <c r="CL20" s="189">
        <v>187</v>
      </c>
      <c r="CM20" s="189"/>
      <c r="CN20" s="189"/>
      <c r="CO20" s="189"/>
      <c r="CP20" s="189">
        <v>140</v>
      </c>
      <c r="CQ20" s="189"/>
      <c r="CR20" s="189">
        <v>225</v>
      </c>
      <c r="CS20" s="189">
        <v>185</v>
      </c>
      <c r="CT20" s="189"/>
      <c r="CU20" s="189"/>
      <c r="CV20" s="189"/>
      <c r="CW20" s="189">
        <v>96</v>
      </c>
      <c r="CX20" s="189">
        <v>249</v>
      </c>
      <c r="CY20" s="189"/>
      <c r="CZ20" s="189">
        <v>203</v>
      </c>
      <c r="DA20" s="189">
        <v>78</v>
      </c>
      <c r="DB20" s="189"/>
      <c r="DC20" s="189"/>
      <c r="DD20" s="189"/>
      <c r="DE20" s="189">
        <v>150</v>
      </c>
      <c r="DF20" s="189"/>
      <c r="DG20" s="189">
        <v>128</v>
      </c>
      <c r="DH20" s="189">
        <v>47</v>
      </c>
      <c r="DI20" s="245"/>
      <c r="DJ20" s="189"/>
      <c r="DK20" s="189">
        <v>39</v>
      </c>
      <c r="DL20" s="189"/>
      <c r="DM20" s="189">
        <v>170</v>
      </c>
      <c r="DN20" s="189"/>
      <c r="DO20" s="189"/>
      <c r="DP20" s="189"/>
      <c r="DQ20" s="189"/>
      <c r="DR20" s="189">
        <v>121</v>
      </c>
      <c r="DS20" s="189"/>
      <c r="DT20" s="189">
        <v>71</v>
      </c>
      <c r="DU20" s="189"/>
      <c r="DV20" s="189"/>
      <c r="DW20" s="189"/>
      <c r="DX20" s="189"/>
      <c r="DY20" s="189"/>
      <c r="DZ20" s="189"/>
      <c r="EA20" s="189">
        <v>51</v>
      </c>
      <c r="EB20" s="189"/>
      <c r="EC20" s="189">
        <v>63</v>
      </c>
      <c r="ED20" s="189"/>
      <c r="EE20" s="189"/>
      <c r="EF20" s="189"/>
      <c r="EG20" s="189">
        <v>60</v>
      </c>
      <c r="EH20" s="189"/>
      <c r="EI20" s="189"/>
      <c r="EJ20" s="189">
        <v>69</v>
      </c>
      <c r="EK20" s="189"/>
      <c r="EL20" s="189"/>
      <c r="EM20" s="189">
        <v>60</v>
      </c>
      <c r="EN20" s="189"/>
      <c r="EO20" s="189">
        <v>148</v>
      </c>
      <c r="EP20" s="189"/>
      <c r="EQ20" s="189"/>
      <c r="ER20" s="189"/>
      <c r="ES20" s="189"/>
      <c r="ET20" s="189">
        <v>142</v>
      </c>
      <c r="EU20" s="189"/>
      <c r="EV20" s="189">
        <v>57</v>
      </c>
      <c r="EW20" s="189"/>
      <c r="EX20" s="189">
        <v>66</v>
      </c>
      <c r="EY20" s="189"/>
      <c r="EZ20" s="189"/>
      <c r="FA20" s="189">
        <v>68</v>
      </c>
      <c r="FB20" s="189"/>
      <c r="FC20" s="189">
        <v>218</v>
      </c>
      <c r="FD20" s="189">
        <v>114</v>
      </c>
      <c r="FE20" s="189"/>
      <c r="FF20" s="189"/>
      <c r="FG20" s="189"/>
      <c r="FH20" s="189">
        <v>87</v>
      </c>
      <c r="FI20" s="189">
        <v>63</v>
      </c>
      <c r="FJ20" s="189">
        <v>133</v>
      </c>
      <c r="FK20" s="189">
        <v>104</v>
      </c>
      <c r="FL20" s="189"/>
      <c r="FM20" s="189"/>
      <c r="FN20" s="189"/>
      <c r="FO20" s="189"/>
      <c r="FP20" s="189"/>
      <c r="FQ20" s="189"/>
      <c r="FR20" s="189"/>
      <c r="FS20" s="189"/>
      <c r="FT20" s="189"/>
      <c r="FU20" s="189"/>
      <c r="FV20" s="189"/>
      <c r="FW20" s="189"/>
      <c r="FX20" s="189"/>
      <c r="FY20" s="189"/>
      <c r="FZ20" s="189"/>
      <c r="GA20" s="189"/>
      <c r="GB20" s="189"/>
      <c r="GC20" s="189"/>
      <c r="GD20" s="189"/>
      <c r="GE20" s="189"/>
      <c r="GF20" s="189"/>
      <c r="GG20" s="189"/>
      <c r="GH20" s="189"/>
      <c r="GI20" s="189"/>
      <c r="GJ20" s="189"/>
      <c r="GK20" s="189"/>
      <c r="GL20" s="189"/>
      <c r="GM20" s="189"/>
      <c r="GN20" s="189"/>
      <c r="GO20" s="189"/>
      <c r="GP20" s="189"/>
      <c r="GQ20" s="189"/>
      <c r="GR20" s="189"/>
      <c r="GS20" s="189"/>
      <c r="GT20" s="189"/>
      <c r="GU20" s="189"/>
      <c r="GV20" s="189"/>
      <c r="GW20" s="189"/>
      <c r="GX20" s="189"/>
      <c r="GY20" s="189"/>
      <c r="GZ20" s="189"/>
      <c r="HA20" s="189"/>
      <c r="HB20" s="189"/>
      <c r="HC20" s="189"/>
      <c r="HD20" s="189"/>
      <c r="HE20" s="189"/>
      <c r="HF20" s="189"/>
      <c r="HG20" s="189"/>
      <c r="HH20" s="189"/>
      <c r="HI20" s="189"/>
      <c r="HJ20" s="189"/>
      <c r="HK20" s="189"/>
      <c r="HL20" s="189"/>
      <c r="HM20" s="189"/>
      <c r="HN20" s="189"/>
      <c r="HO20" s="189"/>
      <c r="HP20" s="189"/>
      <c r="HQ20" s="189"/>
      <c r="HR20" s="189"/>
      <c r="HS20" s="189"/>
      <c r="HT20" s="189"/>
      <c r="HU20" s="189"/>
      <c r="HV20" s="189"/>
      <c r="HW20" s="189"/>
      <c r="HX20" s="189"/>
      <c r="HY20" s="189"/>
      <c r="HZ20" s="189"/>
      <c r="IA20" s="189"/>
      <c r="IB20" s="189"/>
      <c r="IC20" s="189"/>
      <c r="ID20" s="189"/>
      <c r="IE20" s="189"/>
      <c r="IF20" s="189"/>
      <c r="IG20" s="189"/>
      <c r="IH20" s="189"/>
      <c r="II20" s="189"/>
      <c r="IJ20" s="189"/>
      <c r="IK20" s="189"/>
      <c r="IL20" s="189"/>
      <c r="IM20" s="189"/>
      <c r="IN20" s="189"/>
      <c r="IO20" s="189"/>
      <c r="IP20" s="189"/>
      <c r="IQ20" s="189"/>
      <c r="IR20" s="189"/>
      <c r="IS20" s="189"/>
      <c r="IT20" s="189"/>
      <c r="IU20" s="189"/>
      <c r="IV20" s="189"/>
      <c r="IW20" s="189"/>
      <c r="IX20" s="189"/>
      <c r="IY20" s="189"/>
      <c r="IZ20" s="189"/>
      <c r="JA20" s="189"/>
      <c r="JB20" s="189"/>
      <c r="JC20" s="189"/>
      <c r="JD20" s="189"/>
      <c r="JE20" s="189"/>
      <c r="JF20" s="189"/>
      <c r="JG20" s="189"/>
      <c r="JH20" s="189"/>
      <c r="JI20" s="189"/>
      <c r="JJ20" s="189"/>
      <c r="JK20" s="189"/>
      <c r="JL20" s="189"/>
      <c r="JM20" s="189"/>
      <c r="JN20" s="189"/>
      <c r="JO20" s="189"/>
      <c r="JP20" s="189"/>
      <c r="JQ20" s="189"/>
      <c r="JR20" s="189"/>
      <c r="JS20" s="189"/>
      <c r="JT20" s="189"/>
      <c r="JU20" s="189"/>
      <c r="JV20" s="189"/>
      <c r="JW20" s="189"/>
      <c r="JX20" s="189"/>
      <c r="JY20" s="189"/>
      <c r="JZ20" s="189"/>
      <c r="KA20" s="189"/>
      <c r="KB20" s="189"/>
      <c r="KC20" s="189"/>
      <c r="KD20" s="189"/>
      <c r="KE20" s="189"/>
      <c r="KF20" s="189"/>
      <c r="KG20" s="189"/>
      <c r="KH20" s="189"/>
      <c r="KI20" s="189"/>
      <c r="KJ20" s="189"/>
      <c r="KK20" s="189"/>
      <c r="KL20" s="189"/>
      <c r="KM20" s="189"/>
      <c r="KN20" s="189"/>
      <c r="KO20" s="189"/>
      <c r="KP20" s="189"/>
      <c r="KQ20" s="189"/>
      <c r="KR20" s="189"/>
      <c r="KS20" s="189"/>
      <c r="KT20" s="189"/>
      <c r="KU20" s="189"/>
      <c r="KV20" s="189"/>
      <c r="KW20" s="189"/>
      <c r="KX20" s="189"/>
      <c r="KY20" s="189"/>
      <c r="KZ20" s="189"/>
      <c r="LA20" s="189"/>
      <c r="LB20" s="189"/>
      <c r="LC20" s="189"/>
      <c r="LD20" s="189"/>
      <c r="LE20" s="189"/>
      <c r="LF20" s="189"/>
      <c r="LG20" s="189"/>
      <c r="LH20" s="189"/>
      <c r="LI20" s="189"/>
      <c r="LJ20" s="189"/>
      <c r="LK20" s="189"/>
      <c r="LL20" s="189"/>
      <c r="LM20" s="189"/>
      <c r="LN20" s="189"/>
      <c r="LO20" s="189"/>
      <c r="LP20" s="189"/>
      <c r="LQ20" s="189"/>
      <c r="LR20" s="189"/>
      <c r="LS20" s="189"/>
      <c r="LT20" s="189"/>
      <c r="LU20" s="189"/>
      <c r="LV20" s="189"/>
      <c r="LW20" s="189"/>
      <c r="LX20" s="189"/>
      <c r="LY20" s="189"/>
      <c r="LZ20" s="189"/>
      <c r="MA20" s="189"/>
      <c r="MB20" s="189"/>
      <c r="MC20" s="189"/>
      <c r="MD20" s="189"/>
      <c r="ME20" s="189"/>
      <c r="MF20" s="189"/>
      <c r="MG20" s="189"/>
      <c r="MH20" s="189"/>
      <c r="MI20" s="189"/>
      <c r="MJ20" s="189"/>
      <c r="MK20" s="189"/>
      <c r="ML20" s="189"/>
      <c r="MM20" s="189"/>
      <c r="MN20" s="189"/>
      <c r="MO20" s="189"/>
      <c r="MP20" s="189"/>
      <c r="MQ20" s="189"/>
      <c r="MR20" s="189"/>
      <c r="MS20" s="189"/>
      <c r="MT20" s="189"/>
      <c r="MU20" s="189"/>
      <c r="MV20" s="189"/>
      <c r="MW20" s="189"/>
      <c r="MX20" s="189"/>
      <c r="MY20" s="189"/>
      <c r="MZ20" s="189"/>
      <c r="NA20" s="189"/>
      <c r="NB20" s="189"/>
      <c r="NC20" s="189"/>
      <c r="ND20" s="189"/>
      <c r="NE20" s="189"/>
    </row>
    <row r="21" spans="1:369" x14ac:dyDescent="0.2">
      <c r="A21" s="18" t="s">
        <v>12</v>
      </c>
      <c r="B21" s="210">
        <v>408</v>
      </c>
      <c r="C21" s="81"/>
      <c r="D21" s="82">
        <v>172</v>
      </c>
      <c r="E21" s="82"/>
      <c r="F21" s="82"/>
      <c r="G21" s="82"/>
      <c r="H21" s="82"/>
      <c r="I21" s="82"/>
      <c r="J21" s="82">
        <v>191</v>
      </c>
      <c r="K21" s="82"/>
      <c r="L21" s="82">
        <v>105</v>
      </c>
      <c r="M21" s="82">
        <v>48</v>
      </c>
      <c r="N21" s="82"/>
      <c r="O21" s="82"/>
      <c r="P21" s="82"/>
      <c r="Q21" s="82">
        <v>101</v>
      </c>
      <c r="R21" s="82">
        <v>243</v>
      </c>
      <c r="S21" s="82">
        <v>207</v>
      </c>
      <c r="T21" s="82">
        <v>227</v>
      </c>
      <c r="U21" s="82">
        <v>173</v>
      </c>
      <c r="V21" s="82"/>
      <c r="W21" s="82"/>
      <c r="X21" s="82"/>
      <c r="Y21" s="82">
        <v>182</v>
      </c>
      <c r="Z21" s="82">
        <v>197</v>
      </c>
      <c r="AA21" s="82"/>
      <c r="AB21" s="82">
        <v>147</v>
      </c>
      <c r="AC21" s="82"/>
      <c r="AD21" s="82"/>
      <c r="AE21" s="82">
        <v>160</v>
      </c>
      <c r="AF21" s="82"/>
      <c r="AG21" s="82">
        <v>164</v>
      </c>
      <c r="AH21" s="82"/>
      <c r="AI21" s="82">
        <v>84</v>
      </c>
      <c r="AJ21" s="82"/>
      <c r="AK21" s="82"/>
      <c r="AL21" s="82">
        <v>55</v>
      </c>
      <c r="AM21" s="82">
        <v>240</v>
      </c>
      <c r="AN21" s="82">
        <v>177</v>
      </c>
      <c r="AO21" s="82">
        <v>91</v>
      </c>
      <c r="AP21" s="189">
        <v>168</v>
      </c>
      <c r="AQ21" s="82"/>
      <c r="AR21" s="82"/>
      <c r="AS21" s="82"/>
      <c r="AT21" s="82">
        <v>280</v>
      </c>
      <c r="AU21" s="82"/>
      <c r="AV21" s="82">
        <v>216</v>
      </c>
      <c r="AW21" s="82">
        <v>66</v>
      </c>
      <c r="AX21" s="82"/>
      <c r="AY21" s="82"/>
      <c r="AZ21" s="82"/>
      <c r="BA21" s="82">
        <v>144</v>
      </c>
      <c r="BB21" s="82"/>
      <c r="BC21" s="82">
        <v>103</v>
      </c>
      <c r="BD21" s="82">
        <v>192</v>
      </c>
      <c r="BE21" s="82"/>
      <c r="BF21" s="82"/>
      <c r="BG21" s="82"/>
      <c r="BH21" s="82">
        <v>240</v>
      </c>
      <c r="BI21" s="82">
        <v>243</v>
      </c>
      <c r="BJ21" s="82">
        <v>237</v>
      </c>
      <c r="BK21" s="82">
        <v>133</v>
      </c>
      <c r="BL21" s="82"/>
      <c r="BM21" s="82"/>
      <c r="BN21" s="82"/>
      <c r="BO21" s="82">
        <v>348</v>
      </c>
      <c r="BP21" s="82"/>
      <c r="BQ21" s="82">
        <v>58</v>
      </c>
      <c r="BR21" s="82">
        <v>259</v>
      </c>
      <c r="BS21" s="82"/>
      <c r="BT21" s="82"/>
      <c r="BU21" s="82">
        <v>158</v>
      </c>
      <c r="BV21" s="82">
        <v>223</v>
      </c>
      <c r="BW21" s="82">
        <v>270</v>
      </c>
      <c r="BX21" s="82"/>
      <c r="BY21" s="82">
        <v>223</v>
      </c>
      <c r="BZ21" s="82"/>
      <c r="CA21" s="82"/>
      <c r="CB21" s="82"/>
      <c r="CC21" s="82">
        <v>192</v>
      </c>
      <c r="CD21" s="82"/>
      <c r="CE21" s="82">
        <v>404</v>
      </c>
      <c r="CF21" s="82"/>
      <c r="CG21" s="82"/>
      <c r="CH21" s="82"/>
      <c r="CI21" s="82">
        <v>118</v>
      </c>
      <c r="CJ21" s="82">
        <v>394</v>
      </c>
      <c r="CK21" s="82"/>
      <c r="CL21" s="82">
        <v>362</v>
      </c>
      <c r="CM21" s="82"/>
      <c r="CN21" s="82"/>
      <c r="CO21" s="82"/>
      <c r="CP21" s="82">
        <v>272</v>
      </c>
      <c r="CQ21" s="82"/>
      <c r="CR21" s="82">
        <v>442</v>
      </c>
      <c r="CS21" s="82">
        <v>350</v>
      </c>
      <c r="CT21" s="82"/>
      <c r="CU21" s="82"/>
      <c r="CV21" s="82"/>
      <c r="CW21" s="82">
        <v>183</v>
      </c>
      <c r="CX21" s="82">
        <v>336</v>
      </c>
      <c r="CY21" s="82"/>
      <c r="CZ21" s="82">
        <v>401</v>
      </c>
      <c r="DA21" s="82">
        <v>146</v>
      </c>
      <c r="DB21" s="82"/>
      <c r="DC21" s="82"/>
      <c r="DD21" s="82"/>
      <c r="DE21" s="82">
        <v>288</v>
      </c>
      <c r="DF21" s="82"/>
      <c r="DG21" s="82">
        <v>244</v>
      </c>
      <c r="DH21" s="82">
        <v>89</v>
      </c>
      <c r="DI21" s="82"/>
      <c r="DJ21" s="184"/>
      <c r="DK21" s="82">
        <v>73</v>
      </c>
      <c r="DL21" s="82"/>
      <c r="DM21" s="82">
        <v>177</v>
      </c>
      <c r="DN21" s="82"/>
      <c r="DO21" s="82"/>
      <c r="DP21" s="82"/>
      <c r="DQ21" s="82"/>
      <c r="DR21" s="82">
        <v>89</v>
      </c>
      <c r="DS21" s="82"/>
      <c r="DT21" s="82">
        <v>136</v>
      </c>
      <c r="DU21" s="82"/>
      <c r="DV21" s="82"/>
      <c r="DW21" s="82"/>
      <c r="DX21" s="82"/>
      <c r="DY21" s="82"/>
      <c r="DZ21" s="82"/>
      <c r="EA21" s="82">
        <v>97</v>
      </c>
      <c r="EB21" s="82"/>
      <c r="EC21" s="82">
        <v>120</v>
      </c>
      <c r="ED21" s="82"/>
      <c r="EE21" s="82"/>
      <c r="EF21" s="82"/>
      <c r="EG21" s="82">
        <v>113</v>
      </c>
      <c r="EH21" s="82"/>
      <c r="EI21" s="82"/>
      <c r="EJ21" s="82">
        <v>132</v>
      </c>
      <c r="EK21" s="82"/>
      <c r="EL21" s="82"/>
      <c r="EM21" s="82">
        <v>112</v>
      </c>
      <c r="EN21" s="82"/>
      <c r="EO21" s="82">
        <v>98</v>
      </c>
      <c r="EP21" s="82"/>
      <c r="EQ21" s="82"/>
      <c r="ER21" s="82"/>
      <c r="ES21" s="82"/>
      <c r="ET21" s="82">
        <v>144</v>
      </c>
      <c r="EU21" s="82"/>
      <c r="EV21" s="82">
        <v>96</v>
      </c>
      <c r="EW21" s="82"/>
      <c r="EX21" s="82">
        <v>121</v>
      </c>
      <c r="EY21" s="82"/>
      <c r="EZ21" s="82"/>
      <c r="FA21" s="82">
        <v>121</v>
      </c>
      <c r="FB21" s="82"/>
      <c r="FC21" s="82">
        <v>182</v>
      </c>
      <c r="FD21" s="82">
        <v>223</v>
      </c>
      <c r="FE21" s="82"/>
      <c r="FF21" s="82"/>
      <c r="FG21" s="82"/>
      <c r="FH21" s="82">
        <v>168</v>
      </c>
      <c r="FI21" s="82">
        <v>120</v>
      </c>
      <c r="FJ21" s="82">
        <v>228</v>
      </c>
      <c r="FK21" s="82">
        <v>194</v>
      </c>
      <c r="FL21" s="82"/>
      <c r="FM21" s="82"/>
      <c r="FN21" s="82"/>
      <c r="FO21" s="82"/>
      <c r="FP21" s="82"/>
      <c r="FQ21" s="82"/>
      <c r="FR21" s="82"/>
      <c r="FS21" s="82"/>
      <c r="FT21" s="82"/>
      <c r="FU21" s="82"/>
      <c r="FV21" s="82"/>
      <c r="FW21" s="82"/>
      <c r="FX21" s="82"/>
      <c r="FY21" s="82"/>
      <c r="FZ21" s="82"/>
      <c r="GA21" s="82"/>
      <c r="GB21" s="82"/>
      <c r="GC21" s="82"/>
      <c r="GD21" s="82"/>
      <c r="GE21" s="82"/>
      <c r="GF21" s="82"/>
      <c r="GG21" s="82"/>
      <c r="GH21" s="82"/>
      <c r="GI21" s="82"/>
      <c r="GJ21" s="82"/>
      <c r="GK21" s="82"/>
      <c r="GL21" s="82"/>
      <c r="GM21" s="82"/>
      <c r="GN21" s="82"/>
      <c r="GO21" s="82"/>
      <c r="GP21" s="82"/>
      <c r="GQ21" s="82"/>
      <c r="GR21" s="82"/>
      <c r="GS21" s="82"/>
      <c r="GT21" s="82"/>
      <c r="GU21" s="82"/>
      <c r="GV21" s="82"/>
      <c r="GW21" s="82"/>
      <c r="GX21" s="82"/>
      <c r="GY21" s="82"/>
      <c r="GZ21" s="82"/>
      <c r="HA21" s="82"/>
      <c r="HB21" s="82"/>
      <c r="HC21" s="82"/>
      <c r="HD21" s="82"/>
      <c r="HE21" s="82"/>
      <c r="HF21" s="82"/>
      <c r="HG21" s="82"/>
      <c r="HH21" s="82"/>
      <c r="HI21" s="82"/>
      <c r="HJ21" s="82"/>
      <c r="HK21" s="82"/>
      <c r="HL21" s="82"/>
      <c r="HM21" s="82"/>
      <c r="HN21" s="82"/>
      <c r="HO21" s="82"/>
      <c r="HP21" s="82"/>
      <c r="HQ21" s="82"/>
      <c r="HR21" s="82"/>
      <c r="HS21" s="82"/>
      <c r="HT21" s="82"/>
      <c r="HU21" s="82"/>
      <c r="HV21" s="82"/>
      <c r="HW21" s="82"/>
      <c r="HX21" s="82"/>
      <c r="HY21" s="82"/>
      <c r="HZ21" s="82"/>
      <c r="IA21" s="82"/>
      <c r="IB21" s="82"/>
      <c r="IC21" s="82"/>
      <c r="ID21" s="82"/>
      <c r="IE21" s="82"/>
      <c r="IF21" s="82"/>
      <c r="IG21" s="82"/>
      <c r="IH21" s="82"/>
      <c r="II21" s="82"/>
      <c r="IJ21" s="82"/>
      <c r="IK21" s="82"/>
      <c r="IL21" s="82"/>
      <c r="IM21" s="82"/>
      <c r="IN21" s="82"/>
      <c r="IO21" s="82"/>
      <c r="IP21" s="82"/>
      <c r="IQ21" s="82"/>
      <c r="IR21" s="82"/>
      <c r="IS21" s="82"/>
      <c r="IT21" s="82"/>
      <c r="IU21" s="82"/>
      <c r="IV21" s="82"/>
      <c r="IW21" s="82"/>
      <c r="IX21" s="82"/>
      <c r="IY21" s="82"/>
      <c r="IZ21" s="82"/>
      <c r="JA21" s="82"/>
      <c r="JB21" s="82"/>
      <c r="JC21" s="82"/>
      <c r="JD21" s="82"/>
      <c r="JE21" s="82"/>
      <c r="JF21" s="82"/>
      <c r="JG21" s="82"/>
      <c r="JH21" s="82"/>
      <c r="JI21" s="82"/>
      <c r="JJ21" s="82"/>
      <c r="JK21" s="82"/>
      <c r="JL21" s="82"/>
      <c r="JM21" s="82"/>
      <c r="JN21" s="82"/>
      <c r="JO21" s="82"/>
      <c r="JP21" s="82"/>
      <c r="JQ21" s="82"/>
      <c r="JR21" s="82"/>
      <c r="JS21" s="82"/>
      <c r="JT21" s="82"/>
      <c r="JU21" s="82"/>
      <c r="JV21" s="82"/>
      <c r="JW21" s="82"/>
      <c r="JX21" s="82"/>
      <c r="JY21" s="82"/>
      <c r="JZ21" s="82"/>
      <c r="KA21" s="82"/>
      <c r="KB21" s="82"/>
      <c r="KC21" s="82"/>
      <c r="KD21" s="82"/>
      <c r="KE21" s="82"/>
      <c r="KF21" s="82"/>
      <c r="KG21" s="82"/>
      <c r="KH21" s="82"/>
      <c r="KI21" s="82"/>
      <c r="KJ21" s="82"/>
      <c r="KK21" s="82"/>
      <c r="KL21" s="82"/>
      <c r="KM21" s="82"/>
      <c r="KN21" s="82"/>
      <c r="KO21" s="82"/>
      <c r="KP21" s="82"/>
      <c r="KQ21" s="82"/>
      <c r="KR21" s="82"/>
      <c r="KS21" s="82"/>
      <c r="KT21" s="82"/>
      <c r="KU21" s="82"/>
      <c r="KV21" s="82"/>
      <c r="KW21" s="82"/>
      <c r="KX21" s="82"/>
      <c r="KY21" s="82"/>
      <c r="KZ21" s="82"/>
      <c r="LA21" s="82"/>
      <c r="LB21" s="82"/>
      <c r="LC21" s="82"/>
      <c r="LD21" s="82"/>
      <c r="LE21" s="82"/>
      <c r="LF21" s="82"/>
      <c r="LG21" s="82"/>
      <c r="LH21" s="82"/>
      <c r="LI21" s="82"/>
      <c r="LJ21" s="82"/>
      <c r="LK21" s="82"/>
      <c r="LL21" s="82"/>
      <c r="LM21" s="82"/>
      <c r="LN21" s="82"/>
      <c r="LO21" s="82"/>
      <c r="LP21" s="82"/>
      <c r="LQ21" s="82"/>
      <c r="LR21" s="82"/>
      <c r="LS21" s="82"/>
      <c r="LT21" s="82"/>
      <c r="LU21" s="82"/>
      <c r="LV21" s="82"/>
      <c r="LW21" s="82"/>
      <c r="LX21" s="82"/>
      <c r="LY21" s="82"/>
      <c r="LZ21" s="82"/>
      <c r="MA21" s="82"/>
      <c r="MB21" s="82"/>
      <c r="MC21" s="82"/>
      <c r="MD21" s="82"/>
      <c r="ME21" s="82"/>
      <c r="MF21" s="82"/>
      <c r="MG21" s="82"/>
      <c r="MH21" s="82"/>
      <c r="MI21" s="82"/>
      <c r="MJ21" s="82"/>
      <c r="MK21" s="82"/>
      <c r="ML21" s="82"/>
      <c r="MM21" s="82"/>
      <c r="MN21" s="82"/>
      <c r="MO21" s="82"/>
      <c r="MP21" s="82"/>
      <c r="MQ21" s="82"/>
      <c r="MR21" s="82"/>
      <c r="MS21" s="82"/>
      <c r="MT21" s="82"/>
      <c r="MU21" s="82"/>
      <c r="MV21" s="82"/>
      <c r="MW21" s="82"/>
      <c r="MX21" s="82"/>
      <c r="MY21" s="82"/>
      <c r="MZ21" s="82"/>
      <c r="NA21" s="82"/>
      <c r="NB21" s="82"/>
      <c r="NC21" s="82"/>
      <c r="ND21" s="82"/>
      <c r="NE21" s="82"/>
    </row>
    <row r="22" spans="1:369" x14ac:dyDescent="0.2">
      <c r="A22" s="18" t="s">
        <v>13</v>
      </c>
      <c r="B22" s="210">
        <v>159</v>
      </c>
      <c r="C22" s="81"/>
      <c r="D22" s="82">
        <v>51</v>
      </c>
      <c r="E22" s="82"/>
      <c r="F22" s="82"/>
      <c r="G22" s="82"/>
      <c r="H22" s="82"/>
      <c r="I22" s="82"/>
      <c r="J22" s="82"/>
      <c r="K22" s="82"/>
      <c r="L22" s="82">
        <v>65</v>
      </c>
      <c r="M22" s="82">
        <v>6</v>
      </c>
      <c r="N22" s="82"/>
      <c r="O22" s="82"/>
      <c r="P22" s="82"/>
      <c r="Q22" s="82">
        <v>7</v>
      </c>
      <c r="R22" s="82">
        <v>12</v>
      </c>
      <c r="S22" s="82">
        <v>48</v>
      </c>
      <c r="T22" s="82"/>
      <c r="U22" s="82"/>
      <c r="V22" s="82"/>
      <c r="W22" s="82"/>
      <c r="X22" s="82"/>
      <c r="Y22" s="82"/>
      <c r="Z22" s="82">
        <v>32</v>
      </c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I22" s="82"/>
      <c r="CJ22" s="82"/>
      <c r="CK22" s="82"/>
      <c r="CL22" s="82"/>
      <c r="CM22" s="82"/>
      <c r="CN22" s="82"/>
      <c r="CO22" s="82"/>
      <c r="CP22" s="82"/>
      <c r="CQ22" s="82"/>
      <c r="CR22" s="82"/>
      <c r="CS22" s="82"/>
      <c r="CT22" s="82"/>
      <c r="CU22" s="82"/>
      <c r="CV22" s="82"/>
      <c r="CW22" s="82"/>
      <c r="CX22" s="82"/>
      <c r="CY22" s="82"/>
      <c r="CZ22" s="82"/>
      <c r="DA22" s="82"/>
      <c r="DB22" s="82"/>
      <c r="DC22" s="82"/>
      <c r="DD22" s="82"/>
      <c r="DE22" s="82"/>
      <c r="DF22" s="82"/>
      <c r="DG22" s="82"/>
      <c r="DH22" s="82"/>
      <c r="DI22" s="82"/>
      <c r="DJ22" s="82"/>
      <c r="DK22" s="82"/>
      <c r="DL22" s="82"/>
      <c r="DM22" s="82"/>
      <c r="DN22" s="82"/>
      <c r="DO22" s="82"/>
      <c r="DP22" s="82"/>
      <c r="DQ22" s="82"/>
      <c r="DR22" s="82">
        <v>13</v>
      </c>
      <c r="DS22" s="82"/>
      <c r="DT22" s="82"/>
      <c r="DU22" s="82"/>
      <c r="DV22" s="82"/>
      <c r="DW22" s="82"/>
      <c r="DX22" s="82"/>
      <c r="DY22" s="82"/>
      <c r="DZ22" s="82"/>
      <c r="EA22" s="82"/>
      <c r="EB22" s="82"/>
      <c r="EC22" s="82"/>
      <c r="ED22" s="82"/>
      <c r="EE22" s="82"/>
      <c r="EF22" s="82"/>
      <c r="EG22" s="82"/>
      <c r="EH22" s="82"/>
      <c r="EI22" s="82"/>
      <c r="EJ22" s="82"/>
      <c r="EK22" s="82"/>
      <c r="EL22" s="82"/>
      <c r="EM22" s="82"/>
      <c r="EN22" s="82"/>
      <c r="EO22" s="82"/>
      <c r="EP22" s="82"/>
      <c r="EQ22" s="82"/>
      <c r="ER22" s="82"/>
      <c r="ES22" s="82"/>
      <c r="ET22" s="82">
        <v>57</v>
      </c>
      <c r="EU22" s="82"/>
      <c r="EV22" s="82">
        <v>23</v>
      </c>
      <c r="EW22" s="82"/>
      <c r="EX22" s="82">
        <v>22</v>
      </c>
      <c r="EY22" s="82"/>
      <c r="EZ22" s="82"/>
      <c r="FA22" s="82"/>
      <c r="FB22" s="82"/>
      <c r="FC22" s="82">
        <v>64</v>
      </c>
      <c r="FD22" s="82"/>
      <c r="FE22" s="82"/>
      <c r="FF22" s="82"/>
      <c r="FG22" s="82"/>
      <c r="FH22" s="82"/>
      <c r="FI22" s="82"/>
      <c r="FJ22" s="82">
        <v>66</v>
      </c>
      <c r="FK22" s="82">
        <v>18</v>
      </c>
      <c r="FL22" s="82"/>
      <c r="FM22" s="82"/>
      <c r="FN22" s="82"/>
      <c r="FO22" s="82"/>
      <c r="FP22" s="82"/>
      <c r="FQ22" s="82"/>
      <c r="FR22" s="82"/>
      <c r="FS22" s="82"/>
      <c r="FT22" s="82"/>
      <c r="FU22" s="82"/>
      <c r="FV22" s="82"/>
      <c r="FW22" s="82"/>
      <c r="FX22" s="82"/>
      <c r="FY22" s="82"/>
      <c r="FZ22" s="82"/>
      <c r="GA22" s="82"/>
      <c r="GB22" s="82"/>
      <c r="GC22" s="82"/>
      <c r="GD22" s="82"/>
      <c r="GE22" s="82"/>
      <c r="GF22" s="82"/>
      <c r="GG22" s="82"/>
      <c r="GH22" s="82"/>
      <c r="GI22" s="82"/>
      <c r="GJ22" s="82"/>
      <c r="GK22" s="82"/>
      <c r="GL22" s="82"/>
      <c r="GM22" s="82"/>
      <c r="GN22" s="82"/>
      <c r="GO22" s="82"/>
      <c r="GP22" s="82"/>
      <c r="GQ22" s="82"/>
      <c r="GR22" s="82"/>
      <c r="GS22" s="82"/>
      <c r="GT22" s="82"/>
      <c r="GU22" s="82"/>
      <c r="GV22" s="82"/>
      <c r="GW22" s="82"/>
      <c r="GX22" s="82"/>
      <c r="GY22" s="82"/>
      <c r="GZ22" s="82"/>
      <c r="HA22" s="82"/>
      <c r="HB22" s="82"/>
      <c r="HC22" s="82"/>
      <c r="HD22" s="82"/>
      <c r="HE22" s="82"/>
      <c r="HF22" s="82"/>
      <c r="HG22" s="82"/>
      <c r="HH22" s="82"/>
      <c r="HI22" s="82"/>
      <c r="HJ22" s="82"/>
      <c r="HK22" s="82"/>
      <c r="HL22" s="82"/>
      <c r="HM22" s="82"/>
      <c r="HN22" s="82"/>
      <c r="HO22" s="82"/>
      <c r="HP22" s="82"/>
      <c r="HQ22" s="82"/>
      <c r="HR22" s="82"/>
      <c r="HS22" s="82"/>
      <c r="HT22" s="82"/>
      <c r="HU22" s="82"/>
      <c r="HV22" s="82"/>
      <c r="HW22" s="82"/>
      <c r="HX22" s="82"/>
      <c r="HY22" s="82"/>
      <c r="HZ22" s="82"/>
      <c r="IA22" s="82"/>
      <c r="IB22" s="82"/>
      <c r="IC22" s="82"/>
      <c r="ID22" s="82"/>
      <c r="IE22" s="82"/>
      <c r="IF22" s="82"/>
      <c r="IG22" s="82"/>
      <c r="IH22" s="82"/>
      <c r="II22" s="82"/>
      <c r="IJ22" s="82"/>
      <c r="IK22" s="82"/>
      <c r="IL22" s="82"/>
      <c r="IM22" s="82"/>
      <c r="IN22" s="82"/>
      <c r="IO22" s="82"/>
      <c r="IP22" s="82"/>
      <c r="IQ22" s="82"/>
      <c r="IR22" s="82"/>
      <c r="IS22" s="82"/>
      <c r="IT22" s="82"/>
      <c r="IU22" s="82"/>
      <c r="IV22" s="82"/>
      <c r="IW22" s="82"/>
      <c r="IX22" s="82"/>
      <c r="IY22" s="82"/>
      <c r="IZ22" s="82"/>
      <c r="JA22" s="82"/>
      <c r="JB22" s="82"/>
      <c r="JC22" s="82"/>
      <c r="JD22" s="82"/>
      <c r="JE22" s="82"/>
      <c r="JF22" s="82"/>
      <c r="JG22" s="82"/>
      <c r="JH22" s="82"/>
      <c r="JI22" s="82"/>
      <c r="JJ22" s="82"/>
      <c r="JK22" s="82"/>
      <c r="JL22" s="82"/>
      <c r="JM22" s="82"/>
      <c r="JN22" s="82"/>
      <c r="JO22" s="82"/>
      <c r="JP22" s="82"/>
      <c r="JQ22" s="82"/>
      <c r="JR22" s="82"/>
      <c r="JS22" s="82"/>
      <c r="JT22" s="82"/>
      <c r="JU22" s="82"/>
      <c r="JV22" s="82"/>
      <c r="JW22" s="82"/>
      <c r="JX22" s="82"/>
      <c r="JY22" s="82"/>
      <c r="JZ22" s="82"/>
      <c r="KA22" s="82"/>
      <c r="KB22" s="82"/>
      <c r="KC22" s="82"/>
      <c r="KD22" s="82"/>
      <c r="KE22" s="82"/>
      <c r="KF22" s="82"/>
      <c r="KG22" s="82"/>
      <c r="KH22" s="82"/>
      <c r="KI22" s="82"/>
      <c r="KJ22" s="82"/>
      <c r="KK22" s="82"/>
      <c r="KL22" s="82"/>
      <c r="KM22" s="82"/>
      <c r="KN22" s="82"/>
      <c r="KO22" s="82"/>
      <c r="KP22" s="82"/>
      <c r="KQ22" s="82"/>
      <c r="KR22" s="82"/>
      <c r="KS22" s="82"/>
      <c r="KT22" s="82"/>
      <c r="KU22" s="82"/>
      <c r="KV22" s="82"/>
      <c r="KW22" s="82"/>
      <c r="KX22" s="82"/>
      <c r="KY22" s="82"/>
      <c r="KZ22" s="82"/>
      <c r="LA22" s="82"/>
      <c r="LB22" s="82"/>
      <c r="LC22" s="82"/>
      <c r="LD22" s="82"/>
      <c r="LE22" s="82"/>
      <c r="LF22" s="82"/>
      <c r="LG22" s="82"/>
      <c r="LH22" s="82"/>
      <c r="LI22" s="82"/>
      <c r="LJ22" s="82"/>
      <c r="LK22" s="82"/>
      <c r="LL22" s="82"/>
      <c r="LM22" s="82"/>
      <c r="LN22" s="82"/>
      <c r="LO22" s="82"/>
      <c r="LP22" s="82"/>
      <c r="LQ22" s="82"/>
      <c r="LR22" s="82"/>
      <c r="LS22" s="82"/>
      <c r="LT22" s="82"/>
      <c r="LU22" s="82"/>
      <c r="LV22" s="82"/>
      <c r="LW22" s="82"/>
      <c r="LX22" s="82"/>
      <c r="LY22" s="82"/>
      <c r="LZ22" s="82"/>
      <c r="MA22" s="82"/>
      <c r="MB22" s="82"/>
      <c r="MC22" s="82"/>
      <c r="MD22" s="82"/>
      <c r="ME22" s="82"/>
      <c r="MF22" s="82"/>
      <c r="MG22" s="82"/>
      <c r="MH22" s="82"/>
      <c r="MI22" s="82"/>
      <c r="MJ22" s="82"/>
      <c r="MK22" s="82"/>
      <c r="ML22" s="82"/>
      <c r="MM22" s="82"/>
      <c r="MN22" s="82"/>
      <c r="MO22" s="82"/>
      <c r="MP22" s="82"/>
      <c r="MQ22" s="82"/>
      <c r="MR22" s="82"/>
      <c r="MS22" s="82"/>
      <c r="MT22" s="82"/>
      <c r="MU22" s="82"/>
      <c r="MV22" s="82"/>
      <c r="MW22" s="82"/>
      <c r="MX22" s="82"/>
      <c r="MY22" s="82"/>
      <c r="MZ22" s="82"/>
      <c r="NA22" s="82"/>
      <c r="NB22" s="82"/>
      <c r="NC22" s="82"/>
      <c r="ND22" s="82"/>
      <c r="NE22" s="82"/>
    </row>
    <row r="23" spans="1:369" x14ac:dyDescent="0.2">
      <c r="A23" s="18" t="s">
        <v>133</v>
      </c>
      <c r="B23" s="210">
        <v>464</v>
      </c>
      <c r="C23" s="81"/>
      <c r="D23" s="82"/>
      <c r="E23" s="82">
        <v>1</v>
      </c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>
        <v>421</v>
      </c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>
        <v>600</v>
      </c>
      <c r="AN23" s="82"/>
      <c r="AO23" s="82"/>
      <c r="AP23" s="82"/>
      <c r="AQ23" s="82"/>
      <c r="AR23" s="82"/>
      <c r="AS23" s="82"/>
      <c r="AT23" s="82"/>
      <c r="AU23" s="82"/>
      <c r="AV23" s="82">
        <v>567</v>
      </c>
      <c r="AW23" s="82"/>
      <c r="AX23" s="82"/>
      <c r="AY23" s="82"/>
      <c r="AZ23" s="82"/>
      <c r="BA23" s="82">
        <v>474</v>
      </c>
      <c r="BB23" s="82"/>
      <c r="BC23" s="82"/>
      <c r="BD23" s="82"/>
      <c r="BE23" s="82"/>
      <c r="BF23" s="82"/>
      <c r="BG23" s="82"/>
      <c r="BH23" s="82">
        <v>545</v>
      </c>
      <c r="BI23" s="82"/>
      <c r="BJ23" s="82"/>
      <c r="BK23" s="82"/>
      <c r="BL23" s="82"/>
      <c r="BM23" s="82"/>
      <c r="BN23" s="82"/>
      <c r="BO23" s="82"/>
      <c r="BP23" s="82"/>
      <c r="BQ23" s="82">
        <v>397</v>
      </c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>
        <v>498</v>
      </c>
      <c r="CG23" s="82"/>
      <c r="CH23" s="82"/>
      <c r="CI23" s="82"/>
      <c r="CJ23" s="82"/>
      <c r="CK23" s="82"/>
      <c r="CL23" s="82"/>
      <c r="CM23" s="82">
        <v>438</v>
      </c>
      <c r="CN23" s="82"/>
      <c r="CO23" s="82"/>
      <c r="CP23" s="82"/>
      <c r="CQ23" s="82"/>
      <c r="CR23" s="82"/>
      <c r="CS23" s="82"/>
      <c r="CT23" s="82"/>
      <c r="CU23" s="82"/>
      <c r="CV23" s="82"/>
      <c r="CW23" s="82"/>
      <c r="CX23" s="82"/>
      <c r="CY23" s="82"/>
      <c r="CZ23" s="82"/>
      <c r="DA23" s="82"/>
      <c r="DB23" s="82"/>
      <c r="DC23" s="82"/>
      <c r="DD23" s="82"/>
      <c r="DE23" s="82"/>
      <c r="DF23" s="82">
        <v>629</v>
      </c>
      <c r="DG23" s="82"/>
      <c r="DH23" s="82"/>
      <c r="DI23" s="82"/>
      <c r="DJ23" s="82"/>
      <c r="DK23" s="82"/>
      <c r="DL23" s="82"/>
      <c r="DM23" s="82"/>
      <c r="DN23" s="82"/>
      <c r="DO23" s="82"/>
      <c r="DP23" s="82"/>
      <c r="DQ23" s="82"/>
      <c r="DR23" s="82"/>
      <c r="DS23" s="82"/>
      <c r="DT23" s="82"/>
      <c r="DU23" s="82"/>
      <c r="DV23" s="82"/>
      <c r="DW23" s="82"/>
      <c r="DX23" s="82"/>
      <c r="DY23" s="82"/>
      <c r="DZ23" s="82"/>
      <c r="EA23" s="82"/>
      <c r="EB23" s="82"/>
      <c r="EC23" s="82"/>
      <c r="ED23" s="82"/>
      <c r="EE23" s="82"/>
      <c r="EF23" s="82"/>
      <c r="EG23" s="82"/>
      <c r="EH23" s="82"/>
      <c r="EI23" s="82"/>
      <c r="EJ23" s="82"/>
      <c r="EK23" s="82"/>
      <c r="EL23" s="82"/>
      <c r="EM23" s="82"/>
      <c r="EN23" s="82"/>
      <c r="EO23" s="82"/>
      <c r="EP23" s="82"/>
      <c r="EQ23" s="82"/>
      <c r="ER23" s="82"/>
      <c r="ES23" s="82"/>
      <c r="ET23" s="82">
        <v>444</v>
      </c>
      <c r="EU23" s="82"/>
      <c r="EV23" s="82"/>
      <c r="EW23" s="82"/>
      <c r="EX23" s="82"/>
      <c r="EY23" s="82"/>
      <c r="EZ23" s="82"/>
      <c r="FA23" s="82"/>
      <c r="FB23" s="82"/>
      <c r="FC23" s="82"/>
      <c r="FD23" s="82"/>
      <c r="FE23" s="82"/>
      <c r="FF23" s="82"/>
      <c r="FG23" s="82"/>
      <c r="FH23" s="82"/>
      <c r="FI23" s="82"/>
      <c r="FJ23" s="82"/>
      <c r="FK23" s="82"/>
      <c r="FL23" s="82"/>
      <c r="FM23" s="82"/>
      <c r="FN23" s="82"/>
      <c r="FO23" s="82"/>
      <c r="FP23" s="82"/>
      <c r="FQ23" s="82"/>
      <c r="FR23" s="82"/>
      <c r="FS23" s="82"/>
      <c r="FT23" s="82"/>
      <c r="FU23" s="82"/>
      <c r="FV23" s="82"/>
      <c r="FW23" s="82"/>
      <c r="FX23" s="82"/>
      <c r="FY23" s="82"/>
      <c r="FZ23" s="82"/>
      <c r="GA23" s="82"/>
      <c r="GB23" s="82"/>
      <c r="GC23" s="82"/>
      <c r="GD23" s="82"/>
      <c r="GE23" s="82"/>
      <c r="GF23" s="82"/>
      <c r="GG23" s="82"/>
      <c r="GH23" s="82"/>
      <c r="GI23" s="82"/>
      <c r="GJ23" s="82"/>
      <c r="GK23" s="82"/>
      <c r="GL23" s="82"/>
      <c r="GM23" s="82"/>
      <c r="GN23" s="82"/>
      <c r="GO23" s="82"/>
      <c r="GP23" s="82"/>
      <c r="GQ23" s="82"/>
      <c r="GR23" s="82"/>
      <c r="GS23" s="82"/>
      <c r="GT23" s="82"/>
      <c r="GU23" s="82"/>
      <c r="GV23" s="82"/>
      <c r="GW23" s="82"/>
      <c r="GX23" s="82"/>
      <c r="GY23" s="82"/>
      <c r="GZ23" s="82"/>
      <c r="HA23" s="82"/>
      <c r="HB23" s="82"/>
      <c r="HC23" s="82"/>
      <c r="HD23" s="82"/>
      <c r="HE23" s="82"/>
      <c r="HF23" s="82"/>
      <c r="HG23" s="82"/>
      <c r="HH23" s="82"/>
      <c r="HI23" s="82"/>
      <c r="HJ23" s="82"/>
      <c r="HK23" s="82"/>
      <c r="HL23" s="82"/>
      <c r="HM23" s="82"/>
      <c r="HN23" s="82"/>
      <c r="HO23" s="82"/>
      <c r="HP23" s="82"/>
      <c r="HQ23" s="82"/>
      <c r="HR23" s="82"/>
      <c r="HS23" s="82"/>
      <c r="HT23" s="82"/>
      <c r="HU23" s="82"/>
      <c r="HV23" s="82"/>
      <c r="HW23" s="82"/>
      <c r="HX23" s="82"/>
      <c r="HY23" s="82"/>
      <c r="HZ23" s="82"/>
      <c r="IA23" s="82"/>
      <c r="IB23" s="82"/>
      <c r="IC23" s="82"/>
      <c r="ID23" s="82"/>
      <c r="IE23" s="82"/>
      <c r="IF23" s="82"/>
      <c r="IG23" s="82"/>
      <c r="IH23" s="82"/>
      <c r="II23" s="82"/>
      <c r="IJ23" s="82"/>
      <c r="IK23" s="82"/>
      <c r="IL23" s="82"/>
      <c r="IM23" s="82"/>
      <c r="IN23" s="82"/>
      <c r="IO23" s="82"/>
      <c r="IP23" s="82"/>
      <c r="IQ23" s="82"/>
      <c r="IR23" s="82"/>
      <c r="IS23" s="82"/>
      <c r="IT23" s="82"/>
      <c r="IU23" s="82"/>
      <c r="IV23" s="82"/>
      <c r="IW23" s="82"/>
      <c r="IX23" s="82"/>
      <c r="IY23" s="82"/>
      <c r="IZ23" s="82"/>
      <c r="JA23" s="82"/>
      <c r="JB23" s="82"/>
      <c r="JC23" s="82"/>
      <c r="JD23" s="82"/>
      <c r="JE23" s="82"/>
      <c r="JF23" s="82"/>
      <c r="JG23" s="82"/>
      <c r="JH23" s="82"/>
      <c r="JI23" s="82"/>
      <c r="JJ23" s="82"/>
      <c r="JK23" s="82"/>
      <c r="JL23" s="82"/>
      <c r="JM23" s="82"/>
      <c r="JN23" s="82"/>
      <c r="JO23" s="82"/>
      <c r="JP23" s="82"/>
      <c r="JQ23" s="82"/>
      <c r="JR23" s="82"/>
      <c r="JS23" s="82"/>
      <c r="JT23" s="82"/>
      <c r="JU23" s="82"/>
      <c r="JV23" s="82"/>
      <c r="JW23" s="82"/>
      <c r="JX23" s="82"/>
      <c r="JY23" s="82"/>
      <c r="JZ23" s="82"/>
      <c r="KA23" s="82"/>
      <c r="KB23" s="82"/>
      <c r="KC23" s="82"/>
      <c r="KD23" s="82"/>
      <c r="KE23" s="82"/>
      <c r="KF23" s="82"/>
      <c r="KG23" s="82"/>
      <c r="KH23" s="82"/>
      <c r="KI23" s="82"/>
      <c r="KJ23" s="82"/>
      <c r="KK23" s="82"/>
      <c r="KL23" s="82"/>
      <c r="KM23" s="82"/>
      <c r="KN23" s="82"/>
      <c r="KO23" s="82"/>
      <c r="KP23" s="82"/>
      <c r="KQ23" s="82"/>
      <c r="KR23" s="82"/>
      <c r="KS23" s="82"/>
      <c r="KT23" s="82"/>
      <c r="KU23" s="82"/>
      <c r="KV23" s="82"/>
      <c r="KW23" s="82"/>
      <c r="KX23" s="82"/>
      <c r="KY23" s="82"/>
      <c r="KZ23" s="82"/>
      <c r="LA23" s="82"/>
      <c r="LB23" s="82"/>
      <c r="LC23" s="82"/>
      <c r="LD23" s="82"/>
      <c r="LE23" s="82"/>
      <c r="LF23" s="82"/>
      <c r="LG23" s="82"/>
      <c r="LH23" s="82"/>
      <c r="LI23" s="82"/>
      <c r="LJ23" s="82"/>
      <c r="LK23" s="82"/>
      <c r="LL23" s="82"/>
      <c r="LM23" s="82"/>
      <c r="LN23" s="82"/>
      <c r="LO23" s="82"/>
      <c r="LP23" s="82"/>
      <c r="LQ23" s="82"/>
      <c r="LR23" s="82"/>
      <c r="LS23" s="82"/>
      <c r="LT23" s="82"/>
      <c r="LU23" s="82"/>
      <c r="LV23" s="82"/>
      <c r="LW23" s="82"/>
      <c r="LX23" s="82"/>
      <c r="LY23" s="82"/>
      <c r="LZ23" s="82"/>
      <c r="MA23" s="82"/>
      <c r="MB23" s="82"/>
      <c r="MC23" s="82"/>
      <c r="MD23" s="82"/>
      <c r="ME23" s="82"/>
      <c r="MF23" s="82"/>
      <c r="MG23" s="82"/>
      <c r="MH23" s="82"/>
      <c r="MI23" s="82"/>
      <c r="MJ23" s="82"/>
      <c r="MK23" s="82"/>
      <c r="ML23" s="82"/>
      <c r="MM23" s="82"/>
      <c r="MN23" s="82"/>
      <c r="MO23" s="82"/>
      <c r="MP23" s="82"/>
      <c r="MQ23" s="82"/>
      <c r="MR23" s="82"/>
      <c r="MS23" s="82"/>
      <c r="MT23" s="82"/>
      <c r="MU23" s="82"/>
      <c r="MV23" s="82"/>
      <c r="MW23" s="82"/>
      <c r="MX23" s="82"/>
      <c r="MY23" s="82"/>
      <c r="MZ23" s="82"/>
      <c r="NA23" s="82"/>
      <c r="NB23" s="82"/>
      <c r="NC23" s="82"/>
      <c r="ND23" s="82"/>
      <c r="NE23" s="82"/>
    </row>
    <row r="24" spans="1:369" s="96" customFormat="1" ht="16" thickBot="1" x14ac:dyDescent="0.25">
      <c r="A24" s="103" t="s">
        <v>135</v>
      </c>
      <c r="B24" s="173"/>
      <c r="C24" s="127"/>
      <c r="D24" s="128"/>
      <c r="E24" s="128">
        <v>182</v>
      </c>
      <c r="F24" s="128"/>
      <c r="G24" s="128"/>
      <c r="H24" s="128"/>
      <c r="I24" s="128"/>
      <c r="J24" s="128"/>
      <c r="K24" s="128"/>
      <c r="L24" s="128"/>
      <c r="M24" s="128"/>
      <c r="N24" s="128">
        <v>211</v>
      </c>
      <c r="O24" s="128"/>
      <c r="P24" s="128"/>
      <c r="Q24" s="128"/>
      <c r="R24" s="128"/>
      <c r="S24" s="128"/>
      <c r="T24" s="128">
        <v>244</v>
      </c>
      <c r="U24" s="128"/>
      <c r="V24" s="128"/>
      <c r="W24" s="128"/>
      <c r="X24" s="128"/>
      <c r="Y24" s="128"/>
      <c r="Z24" s="128"/>
      <c r="AA24" s="128">
        <v>230</v>
      </c>
      <c r="AB24" s="128"/>
      <c r="AC24" s="128"/>
      <c r="AD24" s="128"/>
      <c r="AE24" s="128"/>
      <c r="AF24" s="128"/>
      <c r="AG24" s="128"/>
      <c r="AH24" s="128">
        <v>440</v>
      </c>
      <c r="AI24" s="128"/>
      <c r="AJ24" s="128"/>
      <c r="AK24" s="128"/>
      <c r="AL24" s="128"/>
      <c r="AM24" s="128">
        <v>345</v>
      </c>
      <c r="AN24" s="128"/>
      <c r="AO24" s="128"/>
      <c r="AP24" s="128"/>
      <c r="AQ24" s="128"/>
      <c r="AR24" s="128"/>
      <c r="AS24" s="128">
        <v>448</v>
      </c>
      <c r="AT24" s="128"/>
      <c r="AU24" s="128"/>
      <c r="AV24" s="128"/>
      <c r="AW24" s="128">
        <v>361</v>
      </c>
      <c r="AX24" s="128"/>
      <c r="AY24" s="128"/>
      <c r="AZ24" s="128"/>
      <c r="BA24" s="128">
        <v>384</v>
      </c>
      <c r="BB24" s="128"/>
      <c r="BC24" s="128"/>
      <c r="BD24" s="134">
        <v>200</v>
      </c>
      <c r="BE24" s="82"/>
      <c r="BF24" s="82"/>
      <c r="BG24" s="82"/>
      <c r="BH24" s="82">
        <v>307</v>
      </c>
      <c r="BI24" s="133"/>
      <c r="BJ24" s="132"/>
      <c r="BK24" s="132"/>
      <c r="BL24" s="132"/>
      <c r="BM24" s="132"/>
      <c r="BN24" s="82"/>
      <c r="BO24" s="82"/>
      <c r="BP24" s="133"/>
      <c r="BQ24" s="133">
        <v>505</v>
      </c>
      <c r="BR24" s="133">
        <v>24</v>
      </c>
      <c r="BS24" s="82"/>
      <c r="BT24" s="82"/>
      <c r="BU24" s="82"/>
      <c r="BV24" s="135"/>
      <c r="BW24" s="82"/>
      <c r="BX24" s="82"/>
      <c r="BY24" s="82"/>
      <c r="BZ24" s="82"/>
      <c r="CA24" s="82"/>
      <c r="CB24" s="82"/>
      <c r="CC24" s="82"/>
      <c r="CD24" s="82">
        <v>616</v>
      </c>
      <c r="CE24" s="82"/>
      <c r="CF24" s="82"/>
      <c r="CG24" s="133"/>
      <c r="CH24" s="82"/>
      <c r="CI24" s="82"/>
      <c r="CJ24" s="82"/>
      <c r="CK24" s="82"/>
      <c r="CL24" s="82"/>
      <c r="CM24" s="82">
        <v>220</v>
      </c>
      <c r="CN24" s="82"/>
      <c r="CO24" s="82"/>
      <c r="CP24" s="82"/>
      <c r="CQ24" s="133"/>
      <c r="CR24" s="133"/>
      <c r="CS24" s="82"/>
      <c r="CT24" s="82"/>
      <c r="CU24" s="82"/>
      <c r="CV24" s="82"/>
      <c r="CW24" s="82"/>
      <c r="CX24" s="82">
        <v>236</v>
      </c>
      <c r="CY24" s="82"/>
      <c r="CZ24" s="82"/>
      <c r="DA24" s="82"/>
      <c r="DB24" s="82"/>
      <c r="DC24" s="82"/>
      <c r="DD24" s="82"/>
      <c r="DE24" s="82"/>
      <c r="DF24" s="133"/>
      <c r="DG24" s="133"/>
      <c r="DH24" s="133"/>
      <c r="DI24" s="133"/>
      <c r="DJ24" s="133"/>
      <c r="DK24" s="133"/>
      <c r="DL24" s="133"/>
      <c r="DM24" s="133">
        <v>224</v>
      </c>
      <c r="DN24" s="133"/>
      <c r="DO24" s="133"/>
      <c r="DP24" s="133"/>
      <c r="DQ24" s="82"/>
      <c r="DR24" s="82">
        <v>210</v>
      </c>
      <c r="DS24" s="82"/>
      <c r="DT24" s="82"/>
      <c r="DU24" s="82"/>
      <c r="DV24" s="82"/>
      <c r="DW24" s="82"/>
      <c r="DX24" s="82"/>
      <c r="DY24" s="82"/>
      <c r="DZ24" s="82"/>
      <c r="EA24" s="82"/>
      <c r="EB24" s="82"/>
      <c r="EC24" s="82"/>
      <c r="ED24" s="82"/>
      <c r="EE24" s="82"/>
      <c r="EF24" s="82"/>
      <c r="EG24" s="82"/>
      <c r="EH24" s="82"/>
      <c r="EI24" s="82"/>
      <c r="EJ24" s="82"/>
      <c r="EK24" s="82"/>
      <c r="EL24" s="82"/>
      <c r="EM24" s="82"/>
      <c r="EN24" s="82"/>
      <c r="EO24" s="82">
        <v>262</v>
      </c>
      <c r="EP24" s="82"/>
      <c r="EQ24" s="82"/>
      <c r="ER24" s="82"/>
      <c r="ES24" s="82"/>
      <c r="ET24" s="82"/>
      <c r="EU24" s="82"/>
      <c r="EV24" s="82"/>
      <c r="EW24" s="82"/>
      <c r="EX24" s="82"/>
      <c r="EY24" s="82"/>
      <c r="EZ24" s="82"/>
      <c r="FA24" s="82"/>
      <c r="FB24" s="82"/>
      <c r="FC24" s="82">
        <v>278</v>
      </c>
      <c r="FD24" s="82"/>
      <c r="FE24" s="82"/>
      <c r="FF24" s="82"/>
      <c r="FG24" s="82"/>
      <c r="FH24" s="82"/>
      <c r="FI24" s="82"/>
      <c r="FJ24" s="82"/>
      <c r="FK24" s="82"/>
      <c r="FL24" s="82"/>
      <c r="FM24" s="82"/>
      <c r="FN24" s="82"/>
      <c r="FO24" s="82"/>
      <c r="FP24" s="82"/>
      <c r="FQ24" s="82"/>
      <c r="FR24" s="82"/>
      <c r="FS24" s="82"/>
      <c r="FT24" s="82"/>
      <c r="FU24" s="82"/>
      <c r="FV24" s="82"/>
      <c r="FW24" s="82"/>
      <c r="FX24" s="82"/>
      <c r="FY24" s="82"/>
      <c r="FZ24" s="82"/>
      <c r="GA24" s="82"/>
      <c r="GB24" s="82"/>
      <c r="GC24" s="82"/>
      <c r="GD24" s="82"/>
      <c r="GE24" s="82"/>
      <c r="GF24" s="82"/>
      <c r="GG24" s="82"/>
      <c r="GH24" s="82"/>
      <c r="GI24" s="82"/>
      <c r="GJ24" s="82"/>
      <c r="GK24" s="82"/>
      <c r="GL24" s="82"/>
      <c r="GM24" s="82"/>
      <c r="GN24" s="82"/>
      <c r="GO24" s="82"/>
      <c r="GP24" s="82"/>
      <c r="GQ24" s="82"/>
      <c r="GR24" s="82"/>
      <c r="GS24" s="82"/>
      <c r="GT24" s="82"/>
      <c r="GU24" s="82"/>
      <c r="GV24" s="82"/>
      <c r="GW24" s="82"/>
      <c r="GX24" s="82"/>
      <c r="GY24" s="82"/>
      <c r="GZ24" s="82"/>
      <c r="HA24" s="82"/>
      <c r="HB24" s="82"/>
      <c r="HC24" s="82"/>
      <c r="HD24" s="82"/>
      <c r="HE24" s="82"/>
      <c r="HF24" s="82"/>
      <c r="HG24" s="82"/>
      <c r="HH24" s="82"/>
      <c r="HI24" s="82"/>
      <c r="HJ24" s="82"/>
      <c r="HK24" s="82"/>
      <c r="HL24" s="82"/>
      <c r="HM24" s="82"/>
      <c r="HN24" s="82"/>
      <c r="HO24" s="82"/>
      <c r="HP24" s="82"/>
      <c r="HQ24" s="82"/>
      <c r="HR24" s="82"/>
      <c r="HS24" s="82"/>
      <c r="HT24" s="82"/>
      <c r="HU24" s="82"/>
      <c r="HV24" s="82"/>
      <c r="HW24" s="82"/>
      <c r="HX24" s="82"/>
      <c r="HY24" s="82"/>
      <c r="HZ24" s="82"/>
      <c r="IA24" s="82"/>
      <c r="IB24" s="82"/>
      <c r="IC24" s="82"/>
      <c r="ID24" s="82"/>
      <c r="IE24" s="82"/>
      <c r="IF24" s="82"/>
      <c r="IG24" s="82"/>
      <c r="IH24" s="82"/>
      <c r="II24" s="82"/>
      <c r="IJ24" s="82"/>
      <c r="IK24" s="82"/>
      <c r="IL24" s="82"/>
      <c r="IM24" s="82"/>
      <c r="IN24" s="82"/>
      <c r="IO24" s="82"/>
      <c r="IP24" s="82"/>
      <c r="IQ24" s="82"/>
      <c r="IR24" s="82"/>
      <c r="IS24" s="82"/>
      <c r="IT24" s="82"/>
      <c r="IU24" s="82"/>
      <c r="IV24" s="82"/>
      <c r="IW24" s="82"/>
      <c r="IX24" s="82"/>
      <c r="IY24" s="82"/>
      <c r="IZ24" s="82"/>
      <c r="JA24" s="82"/>
      <c r="JB24" s="82"/>
      <c r="JC24" s="82"/>
      <c r="JD24" s="82"/>
      <c r="JE24" s="82"/>
      <c r="JF24" s="82"/>
      <c r="JG24" s="82"/>
      <c r="JH24" s="82"/>
      <c r="JI24" s="82"/>
      <c r="JJ24" s="82"/>
      <c r="JK24" s="82"/>
      <c r="JL24" s="82"/>
      <c r="JM24" s="82"/>
      <c r="JN24" s="82"/>
      <c r="JO24" s="82"/>
      <c r="JP24" s="82"/>
      <c r="JQ24" s="82"/>
      <c r="JR24" s="82"/>
      <c r="JS24" s="82"/>
      <c r="JT24" s="82"/>
      <c r="JU24" s="82"/>
      <c r="JV24" s="82"/>
      <c r="JW24" s="82"/>
      <c r="JX24" s="82"/>
      <c r="JY24" s="82"/>
      <c r="JZ24" s="82"/>
      <c r="KA24" s="82"/>
      <c r="KB24" s="82"/>
      <c r="KC24" s="82"/>
      <c r="KD24" s="82"/>
      <c r="KE24" s="82"/>
      <c r="KF24" s="82"/>
      <c r="KG24" s="82"/>
      <c r="KH24" s="82"/>
      <c r="KI24" s="82"/>
      <c r="KJ24" s="82"/>
      <c r="KK24" s="82"/>
      <c r="KL24" s="82"/>
      <c r="KM24" s="82"/>
      <c r="KN24" s="82"/>
      <c r="KO24" s="82"/>
      <c r="KP24" s="82"/>
      <c r="KQ24" s="82"/>
      <c r="KR24" s="82"/>
      <c r="KS24" s="82"/>
      <c r="KT24" s="82"/>
      <c r="KU24" s="82"/>
      <c r="KV24" s="82"/>
      <c r="KW24" s="82"/>
      <c r="KX24" s="82"/>
      <c r="KY24" s="82"/>
      <c r="KZ24" s="82"/>
      <c r="LA24" s="82"/>
      <c r="LB24" s="82"/>
      <c r="LC24" s="82"/>
      <c r="LD24" s="82"/>
      <c r="LE24" s="82"/>
      <c r="LF24" s="82"/>
      <c r="LG24" s="82"/>
      <c r="LH24" s="82"/>
      <c r="LI24" s="82"/>
      <c r="LJ24" s="82"/>
      <c r="LK24" s="82"/>
      <c r="LL24" s="82"/>
      <c r="LM24" s="82"/>
      <c r="LN24" s="82"/>
      <c r="LO24" s="82"/>
      <c r="LP24" s="82"/>
      <c r="LQ24" s="82"/>
      <c r="LR24" s="82"/>
      <c r="LS24" s="82"/>
      <c r="LT24" s="82"/>
      <c r="LU24" s="82"/>
      <c r="LV24" s="82"/>
      <c r="LW24" s="82"/>
      <c r="LX24" s="82"/>
      <c r="LY24" s="82"/>
      <c r="LZ24" s="82"/>
      <c r="MA24" s="82"/>
      <c r="MB24" s="82"/>
      <c r="MC24" s="82"/>
      <c r="MD24" s="82"/>
      <c r="ME24" s="82"/>
      <c r="MF24" s="82"/>
      <c r="MG24" s="82"/>
      <c r="MH24" s="82"/>
      <c r="MI24" s="82"/>
      <c r="MJ24" s="82"/>
      <c r="MK24" s="82"/>
      <c r="ML24" s="82"/>
      <c r="MM24" s="82"/>
      <c r="MN24" s="82"/>
      <c r="MO24" s="82"/>
      <c r="MP24" s="82"/>
      <c r="MQ24" s="82"/>
      <c r="MR24" s="82"/>
      <c r="MS24" s="82"/>
      <c r="MT24" s="82"/>
      <c r="MU24" s="82"/>
      <c r="MV24" s="82"/>
      <c r="MW24" s="82"/>
      <c r="MX24" s="82"/>
      <c r="MY24" s="82"/>
      <c r="MZ24" s="82"/>
      <c r="NA24" s="82"/>
      <c r="NB24" s="82"/>
      <c r="NC24" s="82"/>
      <c r="ND24" s="82"/>
      <c r="NE24" s="82"/>
    </row>
    <row r="25" spans="1:369" x14ac:dyDescent="0.2">
      <c r="A25" s="20" t="s">
        <v>6</v>
      </c>
      <c r="B25" s="208"/>
      <c r="C25" s="77"/>
      <c r="D25" s="78"/>
      <c r="E25" s="78">
        <v>110</v>
      </c>
      <c r="F25" s="78"/>
      <c r="G25" s="78"/>
      <c r="H25" s="78"/>
      <c r="I25" s="78"/>
      <c r="J25" s="78"/>
      <c r="K25" s="78"/>
      <c r="L25" s="78">
        <v>90</v>
      </c>
      <c r="M25" s="78"/>
      <c r="N25" s="78"/>
      <c r="O25" s="78"/>
      <c r="P25" s="78"/>
      <c r="Q25" s="78">
        <v>97</v>
      </c>
      <c r="R25" s="78"/>
      <c r="S25" s="78">
        <v>100</v>
      </c>
      <c r="T25" s="78"/>
      <c r="U25" s="78"/>
      <c r="V25" s="78"/>
      <c r="W25" s="78"/>
      <c r="X25" s="78"/>
      <c r="Y25" s="78"/>
      <c r="Z25" s="78"/>
      <c r="AA25" s="78">
        <v>185</v>
      </c>
      <c r="AB25" s="78"/>
      <c r="AC25" s="78"/>
      <c r="AD25" s="78"/>
      <c r="AE25" s="78"/>
      <c r="AF25" s="78"/>
      <c r="AG25" s="78"/>
      <c r="AH25" s="78">
        <v>90</v>
      </c>
      <c r="AI25" s="78">
        <v>80</v>
      </c>
      <c r="AJ25" s="78"/>
      <c r="AK25" s="78"/>
      <c r="AL25" s="78"/>
      <c r="AM25" s="78"/>
      <c r="AN25" s="78"/>
      <c r="AO25" s="78">
        <v>220</v>
      </c>
      <c r="AP25" s="78"/>
      <c r="AQ25" s="78"/>
      <c r="AR25" s="78"/>
      <c r="AS25" s="78"/>
      <c r="AT25" s="78">
        <v>100</v>
      </c>
      <c r="AU25" s="78">
        <v>100</v>
      </c>
      <c r="AV25" s="78"/>
      <c r="AW25" s="78"/>
      <c r="AX25" s="78"/>
      <c r="AY25" s="78"/>
      <c r="AZ25" s="78"/>
      <c r="BA25" s="78"/>
      <c r="BB25" s="78">
        <v>200</v>
      </c>
      <c r="BC25" s="78"/>
      <c r="BD25" s="78">
        <v>120</v>
      </c>
      <c r="BE25" s="78"/>
      <c r="BF25" s="78"/>
      <c r="BG25" s="78">
        <v>100</v>
      </c>
      <c r="BH25" s="78"/>
      <c r="BI25" s="78"/>
      <c r="BJ25" s="78">
        <v>120</v>
      </c>
      <c r="BK25" s="78">
        <v>90</v>
      </c>
      <c r="BL25" s="78"/>
      <c r="BM25" s="78"/>
      <c r="BN25" s="78"/>
      <c r="BO25" s="78"/>
      <c r="BP25" s="78">
        <v>200</v>
      </c>
      <c r="BQ25" s="78"/>
      <c r="BR25" s="78"/>
      <c r="BS25" s="78"/>
      <c r="BT25" s="78"/>
      <c r="BU25" s="78"/>
      <c r="BV25" s="78">
        <v>100</v>
      </c>
      <c r="BW25" s="78"/>
      <c r="BX25" s="78"/>
      <c r="BY25" s="78"/>
      <c r="BZ25" s="78"/>
      <c r="CA25" s="78"/>
      <c r="CB25" s="78">
        <v>190</v>
      </c>
      <c r="CC25" s="78"/>
      <c r="CD25" s="78"/>
      <c r="CE25" s="78"/>
      <c r="CF25" s="78">
        <v>95</v>
      </c>
      <c r="CG25" s="78"/>
      <c r="CH25" s="78"/>
      <c r="CI25" s="78"/>
      <c r="CJ25" s="78">
        <v>100</v>
      </c>
      <c r="CK25" s="78"/>
      <c r="CL25" s="78"/>
      <c r="CM25" s="78"/>
      <c r="CN25" s="78"/>
      <c r="CO25" s="78"/>
      <c r="CP25" s="78"/>
      <c r="CQ25" s="78">
        <v>240</v>
      </c>
      <c r="CR25" s="78"/>
      <c r="CS25" s="78"/>
      <c r="CT25" s="78"/>
      <c r="CU25" s="78"/>
      <c r="CV25" s="78"/>
      <c r="CW25" s="78"/>
      <c r="CX25" s="78"/>
      <c r="CY25" s="78"/>
      <c r="CZ25" s="78"/>
      <c r="DA25" s="78">
        <v>200</v>
      </c>
      <c r="DB25" s="78"/>
      <c r="DC25" s="78"/>
      <c r="DD25" s="78"/>
      <c r="DE25" s="78"/>
      <c r="DF25" s="78">
        <v>200</v>
      </c>
      <c r="DG25" s="78"/>
      <c r="DH25" s="78"/>
      <c r="DI25" s="78"/>
      <c r="DJ25" s="78"/>
      <c r="DK25" s="78"/>
      <c r="DL25" s="78"/>
      <c r="DM25" s="78"/>
      <c r="DN25" s="78"/>
      <c r="DO25" s="78">
        <v>100</v>
      </c>
      <c r="DP25" s="78"/>
      <c r="DQ25" s="78"/>
      <c r="DR25" s="78">
        <v>100</v>
      </c>
      <c r="DS25" s="78">
        <v>100</v>
      </c>
      <c r="DT25" s="78"/>
      <c r="DU25" s="78"/>
      <c r="DV25" s="78"/>
      <c r="DW25" s="252"/>
      <c r="DX25" s="78"/>
      <c r="DY25" s="78">
        <v>220</v>
      </c>
      <c r="DZ25" s="78"/>
      <c r="EA25" s="78"/>
      <c r="EB25" s="78"/>
      <c r="EC25" s="78"/>
      <c r="ED25" s="78"/>
      <c r="EE25" s="78"/>
      <c r="EF25" s="78"/>
      <c r="EG25" s="78"/>
      <c r="EH25" s="78"/>
      <c r="EI25" s="78"/>
      <c r="EJ25" s="78"/>
      <c r="EK25" s="78"/>
      <c r="EL25" s="78"/>
      <c r="EM25" s="78">
        <v>103</v>
      </c>
      <c r="EN25" s="78"/>
      <c r="EO25" s="78"/>
      <c r="EP25" s="78"/>
      <c r="EQ25" s="78"/>
      <c r="ER25" s="78"/>
      <c r="ES25" s="78"/>
      <c r="ET25" s="78"/>
      <c r="EU25" s="78">
        <v>100</v>
      </c>
      <c r="EV25" s="78"/>
      <c r="EW25" s="78"/>
      <c r="EX25" s="78"/>
      <c r="EY25" s="78"/>
      <c r="EZ25" s="78"/>
      <c r="FA25" s="78"/>
      <c r="FB25" s="78">
        <v>122</v>
      </c>
      <c r="FC25" s="78"/>
      <c r="FD25" s="78"/>
      <c r="FE25" s="78"/>
      <c r="FF25" s="78"/>
      <c r="FG25" s="78"/>
      <c r="FH25" s="78"/>
      <c r="FI25" s="78"/>
      <c r="FJ25" s="78"/>
      <c r="FK25" s="78"/>
      <c r="FL25" s="78"/>
      <c r="FM25" s="78"/>
      <c r="FN25" s="78"/>
      <c r="FO25" s="78"/>
      <c r="FP25" s="78"/>
      <c r="FQ25" s="78"/>
      <c r="FR25" s="78"/>
      <c r="FS25" s="78"/>
      <c r="FT25" s="78"/>
      <c r="FU25" s="78"/>
      <c r="FV25" s="78"/>
      <c r="FW25" s="78"/>
      <c r="FX25" s="78"/>
      <c r="FY25" s="78"/>
      <c r="FZ25" s="78"/>
      <c r="GA25" s="78"/>
      <c r="GB25" s="78"/>
      <c r="GC25" s="78"/>
      <c r="GD25" s="78"/>
      <c r="GE25" s="78"/>
      <c r="GF25" s="78"/>
      <c r="GG25" s="78"/>
      <c r="GH25" s="78"/>
      <c r="GI25" s="78"/>
      <c r="GJ25" s="78"/>
      <c r="GK25" s="78"/>
      <c r="GL25" s="78"/>
      <c r="GM25" s="78"/>
      <c r="GN25" s="78"/>
      <c r="GO25" s="78"/>
      <c r="GP25" s="78"/>
      <c r="GQ25" s="78"/>
      <c r="GR25" s="78"/>
      <c r="GS25" s="78"/>
      <c r="GT25" s="78"/>
      <c r="GU25" s="78"/>
      <c r="GV25" s="78"/>
      <c r="GW25" s="78"/>
      <c r="GX25" s="78"/>
      <c r="GY25" s="78"/>
      <c r="GZ25" s="78"/>
      <c r="HA25" s="78"/>
      <c r="HB25" s="78"/>
      <c r="HC25" s="78"/>
      <c r="HD25" s="78"/>
      <c r="HE25" s="78"/>
      <c r="HF25" s="78"/>
      <c r="HG25" s="78"/>
      <c r="HH25" s="78"/>
      <c r="HI25" s="78"/>
      <c r="HJ25" s="78"/>
      <c r="HK25" s="78"/>
      <c r="HL25" s="78"/>
      <c r="HM25" s="78"/>
      <c r="HN25" s="78"/>
      <c r="HO25" s="78"/>
      <c r="HP25" s="78"/>
      <c r="HQ25" s="78"/>
      <c r="HR25" s="78"/>
      <c r="HS25" s="78"/>
      <c r="HT25" s="78"/>
      <c r="HU25" s="78"/>
      <c r="HV25" s="78"/>
      <c r="HW25" s="78"/>
      <c r="HX25" s="78"/>
      <c r="HY25" s="78"/>
      <c r="HZ25" s="78"/>
      <c r="IA25" s="78"/>
      <c r="IB25" s="78"/>
      <c r="IC25" s="78"/>
      <c r="ID25" s="78"/>
      <c r="IE25" s="78"/>
      <c r="IF25" s="78"/>
      <c r="IG25" s="78"/>
      <c r="IH25" s="78"/>
      <c r="II25" s="78"/>
      <c r="IJ25" s="78"/>
      <c r="IK25" s="78"/>
      <c r="IL25" s="78"/>
      <c r="IM25" s="78"/>
      <c r="IN25" s="78"/>
      <c r="IO25" s="78"/>
      <c r="IP25" s="78"/>
      <c r="IQ25" s="78"/>
      <c r="IR25" s="78"/>
      <c r="IS25" s="78"/>
      <c r="IT25" s="78"/>
      <c r="IU25" s="78"/>
      <c r="IV25" s="78"/>
      <c r="IW25" s="78"/>
      <c r="IX25" s="78"/>
      <c r="IY25" s="78"/>
      <c r="IZ25" s="78"/>
      <c r="JA25" s="78"/>
      <c r="JB25" s="78"/>
      <c r="JC25" s="78"/>
      <c r="JD25" s="78"/>
      <c r="JE25" s="78"/>
      <c r="JF25" s="78"/>
      <c r="JG25" s="78"/>
      <c r="JH25" s="78"/>
      <c r="JI25" s="78"/>
      <c r="JJ25" s="78"/>
      <c r="JK25" s="78"/>
      <c r="JL25" s="78"/>
      <c r="JM25" s="78"/>
      <c r="JN25" s="78"/>
      <c r="JO25" s="78"/>
      <c r="JP25" s="78"/>
      <c r="JQ25" s="78"/>
      <c r="JR25" s="78"/>
      <c r="JS25" s="78"/>
      <c r="JT25" s="78"/>
      <c r="JU25" s="78"/>
      <c r="JV25" s="78"/>
      <c r="JW25" s="78"/>
      <c r="JX25" s="78"/>
      <c r="JY25" s="78"/>
      <c r="JZ25" s="78"/>
      <c r="KA25" s="78"/>
      <c r="KB25" s="78"/>
      <c r="KC25" s="78"/>
      <c r="KD25" s="78"/>
      <c r="KE25" s="78"/>
      <c r="KF25" s="78"/>
      <c r="KG25" s="78"/>
      <c r="KH25" s="78"/>
      <c r="KI25" s="78"/>
      <c r="KJ25" s="78"/>
      <c r="KK25" s="78"/>
      <c r="KL25" s="78"/>
      <c r="KM25" s="78"/>
      <c r="KN25" s="78"/>
      <c r="KO25" s="78"/>
      <c r="KP25" s="78"/>
      <c r="KQ25" s="78"/>
      <c r="KR25" s="78"/>
      <c r="KS25" s="78"/>
      <c r="KT25" s="78"/>
      <c r="KU25" s="78"/>
      <c r="KV25" s="78"/>
      <c r="KW25" s="78"/>
      <c r="KX25" s="78"/>
      <c r="KY25" s="78"/>
      <c r="KZ25" s="78"/>
      <c r="LA25" s="78"/>
      <c r="LB25" s="78"/>
      <c r="LC25" s="78"/>
      <c r="LD25" s="78"/>
      <c r="LE25" s="78"/>
      <c r="LF25" s="78"/>
      <c r="LG25" s="78"/>
      <c r="LH25" s="78"/>
      <c r="LI25" s="78"/>
      <c r="LJ25" s="78"/>
      <c r="LK25" s="78"/>
      <c r="LL25" s="78"/>
      <c r="LM25" s="78"/>
      <c r="LN25" s="78"/>
      <c r="LO25" s="78"/>
      <c r="LP25" s="78"/>
      <c r="LQ25" s="78"/>
      <c r="LR25" s="78"/>
      <c r="LS25" s="78"/>
      <c r="LT25" s="78"/>
      <c r="LU25" s="78"/>
      <c r="LV25" s="78"/>
      <c r="LW25" s="78"/>
      <c r="LX25" s="78"/>
      <c r="LY25" s="78"/>
      <c r="LZ25" s="78"/>
      <c r="MA25" s="78"/>
      <c r="MB25" s="78"/>
      <c r="MC25" s="78"/>
      <c r="MD25" s="78"/>
      <c r="ME25" s="78"/>
      <c r="MF25" s="78"/>
      <c r="MG25" s="78"/>
      <c r="MH25" s="78"/>
      <c r="MI25" s="78"/>
      <c r="MJ25" s="78"/>
      <c r="MK25" s="78"/>
      <c r="ML25" s="78"/>
      <c r="MM25" s="78"/>
      <c r="MN25" s="78"/>
      <c r="MO25" s="78"/>
      <c r="MP25" s="78"/>
      <c r="MQ25" s="78"/>
      <c r="MR25" s="78"/>
      <c r="MS25" s="78"/>
      <c r="MT25" s="78"/>
      <c r="MU25" s="78"/>
      <c r="MV25" s="78"/>
      <c r="MW25" s="78"/>
      <c r="MX25" s="78"/>
      <c r="MY25" s="78"/>
      <c r="MZ25" s="78"/>
      <c r="NA25" s="78"/>
      <c r="NB25" s="78"/>
      <c r="NC25" s="78"/>
      <c r="ND25" s="78"/>
      <c r="NE25" s="78"/>
    </row>
    <row r="26" spans="1:369" x14ac:dyDescent="0.2">
      <c r="A26" s="21" t="s">
        <v>7</v>
      </c>
      <c r="B26" s="209"/>
      <c r="C26" s="80"/>
      <c r="D26" s="80"/>
      <c r="E26" s="80">
        <v>3600</v>
      </c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>
        <v>30</v>
      </c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F26" s="80"/>
      <c r="CG26" s="80"/>
      <c r="CH26" s="80"/>
      <c r="CI26" s="80"/>
      <c r="CJ26" s="80"/>
      <c r="CK26" s="80"/>
      <c r="CL26" s="80"/>
      <c r="CM26" s="80"/>
      <c r="CN26" s="80"/>
      <c r="CO26" s="80"/>
      <c r="CP26" s="80"/>
      <c r="CQ26" s="80"/>
      <c r="CR26" s="80"/>
      <c r="CS26" s="80"/>
      <c r="CT26" s="80"/>
      <c r="CU26" s="80"/>
      <c r="CV26" s="80"/>
      <c r="CW26" s="80"/>
      <c r="CX26" s="80"/>
      <c r="CY26" s="80"/>
      <c r="CZ26" s="80"/>
      <c r="DA26" s="80"/>
      <c r="DB26" s="80"/>
      <c r="DC26" s="80"/>
      <c r="DD26" s="80"/>
      <c r="DE26" s="80"/>
      <c r="DF26" s="80"/>
      <c r="DG26" s="80"/>
      <c r="DH26" s="80"/>
      <c r="DI26" s="80"/>
      <c r="DJ26" s="80"/>
      <c r="DK26" s="80"/>
      <c r="DL26" s="80"/>
      <c r="DM26" s="80"/>
      <c r="DN26" s="80"/>
      <c r="DO26" s="80"/>
      <c r="DP26" s="80"/>
      <c r="DQ26" s="80"/>
      <c r="DR26" s="80"/>
      <c r="DS26" s="80"/>
      <c r="DT26" s="80"/>
      <c r="DU26" s="80"/>
      <c r="DV26" s="80"/>
      <c r="DW26" s="80"/>
      <c r="DX26" s="80"/>
      <c r="DY26" s="80"/>
      <c r="DZ26" s="80"/>
      <c r="EA26" s="80"/>
      <c r="EB26" s="80"/>
      <c r="EC26" s="80"/>
      <c r="ED26" s="80"/>
      <c r="EE26" s="80"/>
      <c r="EF26" s="80"/>
      <c r="EG26" s="80"/>
      <c r="EH26" s="80"/>
      <c r="EI26" s="80"/>
      <c r="EJ26" s="80"/>
      <c r="EK26" s="80"/>
      <c r="EL26" s="80"/>
      <c r="EM26" s="80"/>
      <c r="EN26" s="80"/>
      <c r="EO26" s="80"/>
      <c r="EP26" s="80"/>
      <c r="EQ26" s="80"/>
      <c r="ER26" s="80"/>
      <c r="ES26" s="80"/>
      <c r="ET26" s="80"/>
      <c r="EU26" s="80"/>
      <c r="EV26" s="80"/>
      <c r="EW26" s="80"/>
      <c r="EX26" s="80"/>
      <c r="EY26" s="80"/>
      <c r="EZ26" s="80"/>
      <c r="FA26" s="80"/>
      <c r="FB26" s="80"/>
      <c r="FC26" s="80"/>
      <c r="FD26" s="80"/>
      <c r="FE26" s="80"/>
      <c r="FF26" s="80"/>
      <c r="FG26" s="80"/>
      <c r="FH26" s="80"/>
      <c r="FI26" s="80"/>
      <c r="FJ26" s="80"/>
      <c r="FK26" s="80"/>
      <c r="FL26" s="80"/>
      <c r="FM26" s="80"/>
      <c r="FN26" s="80"/>
      <c r="FO26" s="80"/>
      <c r="FP26" s="80"/>
      <c r="FQ26" s="80"/>
      <c r="FR26" s="80"/>
      <c r="FS26" s="80"/>
      <c r="FT26" s="80"/>
      <c r="FU26" s="80"/>
      <c r="FV26" s="80"/>
      <c r="FW26" s="80"/>
      <c r="FX26" s="80"/>
      <c r="FY26" s="80"/>
      <c r="FZ26" s="80"/>
      <c r="GA26" s="80"/>
      <c r="GB26" s="80"/>
      <c r="GC26" s="80"/>
      <c r="GD26" s="80"/>
      <c r="GE26" s="80"/>
      <c r="GF26" s="80"/>
      <c r="GG26" s="80"/>
      <c r="GH26" s="80"/>
      <c r="GI26" s="80"/>
      <c r="GJ26" s="80"/>
      <c r="GK26" s="80"/>
      <c r="GL26" s="80"/>
      <c r="GM26" s="80"/>
      <c r="GN26" s="80"/>
      <c r="GO26" s="80"/>
      <c r="GP26" s="80"/>
      <c r="GQ26" s="80"/>
      <c r="GR26" s="80"/>
      <c r="GS26" s="80"/>
      <c r="GT26" s="80"/>
      <c r="GU26" s="80"/>
      <c r="GV26" s="80"/>
      <c r="GW26" s="80"/>
      <c r="GX26" s="80"/>
      <c r="GY26" s="80"/>
      <c r="GZ26" s="80"/>
      <c r="HA26" s="80"/>
      <c r="HB26" s="80"/>
      <c r="HC26" s="80"/>
      <c r="HD26" s="80"/>
      <c r="HE26" s="80"/>
      <c r="HF26" s="80"/>
      <c r="HG26" s="80"/>
      <c r="HH26" s="80"/>
      <c r="HI26" s="80"/>
      <c r="HJ26" s="80"/>
      <c r="HK26" s="80"/>
      <c r="HL26" s="80"/>
      <c r="HM26" s="80"/>
      <c r="HN26" s="80"/>
      <c r="HO26" s="80"/>
      <c r="HP26" s="80"/>
      <c r="HQ26" s="80"/>
      <c r="HR26" s="80"/>
      <c r="HS26" s="80"/>
      <c r="HT26" s="80"/>
      <c r="HU26" s="80"/>
      <c r="HV26" s="80"/>
      <c r="HW26" s="80"/>
      <c r="HX26" s="80"/>
      <c r="HY26" s="80"/>
      <c r="HZ26" s="80"/>
      <c r="IA26" s="80"/>
      <c r="IB26" s="80"/>
      <c r="IC26" s="80"/>
      <c r="ID26" s="80"/>
      <c r="IE26" s="80"/>
      <c r="IF26" s="80"/>
      <c r="IG26" s="80"/>
      <c r="IH26" s="80"/>
      <c r="II26" s="80"/>
      <c r="IJ26" s="80"/>
      <c r="IK26" s="80"/>
      <c r="IL26" s="80"/>
      <c r="IM26" s="80"/>
      <c r="IN26" s="80"/>
      <c r="IO26" s="80"/>
      <c r="IP26" s="80"/>
      <c r="IQ26" s="80"/>
      <c r="IR26" s="80"/>
      <c r="IS26" s="80"/>
      <c r="IT26" s="80"/>
      <c r="IU26" s="80"/>
      <c r="IV26" s="80"/>
      <c r="IW26" s="80"/>
      <c r="IX26" s="80"/>
      <c r="IY26" s="80"/>
      <c r="IZ26" s="80"/>
      <c r="JA26" s="80"/>
      <c r="JB26" s="80"/>
      <c r="JC26" s="80"/>
      <c r="JD26" s="80"/>
      <c r="JE26" s="80"/>
      <c r="JF26" s="80"/>
      <c r="JG26" s="80"/>
      <c r="JH26" s="80"/>
      <c r="JI26" s="80"/>
      <c r="JJ26" s="80"/>
      <c r="JK26" s="80"/>
      <c r="JL26" s="80"/>
      <c r="JM26" s="80"/>
      <c r="JN26" s="80"/>
      <c r="JO26" s="80"/>
      <c r="JP26" s="80"/>
      <c r="JQ26" s="80"/>
      <c r="JR26" s="80"/>
      <c r="JS26" s="80"/>
      <c r="JT26" s="80"/>
      <c r="JU26" s="80"/>
      <c r="JV26" s="80"/>
      <c r="JW26" s="80"/>
      <c r="JX26" s="80"/>
      <c r="JY26" s="80"/>
      <c r="JZ26" s="80"/>
      <c r="KA26" s="80"/>
      <c r="KB26" s="80"/>
      <c r="KC26" s="80"/>
      <c r="KD26" s="80"/>
      <c r="KE26" s="80"/>
      <c r="KF26" s="80"/>
      <c r="KG26" s="80"/>
      <c r="KH26" s="80"/>
      <c r="KI26" s="80"/>
      <c r="KJ26" s="80"/>
      <c r="KK26" s="80"/>
      <c r="KL26" s="80"/>
      <c r="KM26" s="80"/>
      <c r="KN26" s="80"/>
      <c r="KO26" s="80"/>
      <c r="KP26" s="80"/>
      <c r="KQ26" s="80"/>
      <c r="KR26" s="80"/>
      <c r="KS26" s="80"/>
      <c r="KT26" s="80"/>
      <c r="KU26" s="80"/>
      <c r="KV26" s="80"/>
      <c r="KW26" s="80"/>
      <c r="KX26" s="80"/>
      <c r="KY26" s="80"/>
      <c r="KZ26" s="80"/>
      <c r="LA26" s="80"/>
      <c r="LB26" s="80"/>
      <c r="LC26" s="80"/>
      <c r="LD26" s="80"/>
      <c r="LE26" s="80"/>
      <c r="LF26" s="80"/>
      <c r="LG26" s="80"/>
      <c r="LH26" s="80"/>
      <c r="LI26" s="80"/>
      <c r="LJ26" s="80"/>
      <c r="LK26" s="80"/>
      <c r="LL26" s="80"/>
      <c r="LM26" s="80"/>
      <c r="LN26" s="80"/>
      <c r="LO26" s="80"/>
      <c r="LP26" s="80"/>
      <c r="LQ26" s="80"/>
      <c r="LR26" s="80"/>
      <c r="LS26" s="80"/>
      <c r="LT26" s="80"/>
      <c r="LU26" s="80"/>
      <c r="LV26" s="80"/>
      <c r="LW26" s="80"/>
      <c r="LX26" s="80"/>
      <c r="LY26" s="80"/>
      <c r="LZ26" s="80"/>
      <c r="MA26" s="80"/>
      <c r="MB26" s="80"/>
      <c r="MC26" s="80"/>
      <c r="MD26" s="80"/>
      <c r="ME26" s="80"/>
      <c r="MF26" s="80"/>
      <c r="MG26" s="80"/>
      <c r="MH26" s="80"/>
      <c r="MI26" s="80"/>
      <c r="MJ26" s="80"/>
      <c r="MK26" s="80"/>
      <c r="ML26" s="80"/>
      <c r="MM26" s="80"/>
      <c r="MN26" s="80"/>
      <c r="MO26" s="80"/>
      <c r="MP26" s="80"/>
      <c r="MQ26" s="80"/>
      <c r="MR26" s="80"/>
      <c r="MS26" s="80"/>
      <c r="MT26" s="80"/>
      <c r="MU26" s="80"/>
      <c r="MV26" s="80"/>
      <c r="MW26" s="80"/>
      <c r="MX26" s="80"/>
      <c r="MY26" s="80"/>
      <c r="MZ26" s="80"/>
      <c r="NA26" s="80"/>
      <c r="NB26" s="80"/>
      <c r="NC26" s="80"/>
      <c r="ND26" s="80"/>
      <c r="NE26" s="80"/>
    </row>
    <row r="27" spans="1:369" s="153" customFormat="1" ht="16" thickBot="1" x14ac:dyDescent="0.25">
      <c r="A27" s="144" t="s">
        <v>168</v>
      </c>
      <c r="B27" s="212">
        <v>144</v>
      </c>
      <c r="C27" s="166"/>
      <c r="D27" s="167"/>
      <c r="E27" s="167">
        <v>181</v>
      </c>
      <c r="F27" s="167"/>
      <c r="G27" s="167"/>
      <c r="H27" s="167"/>
      <c r="I27" s="167"/>
      <c r="J27" s="167"/>
      <c r="K27" s="167"/>
      <c r="L27" s="167">
        <v>89</v>
      </c>
      <c r="M27" s="167"/>
      <c r="N27" s="167"/>
      <c r="O27" s="167"/>
      <c r="P27" s="167"/>
      <c r="Q27" s="167">
        <v>95</v>
      </c>
      <c r="R27" s="167"/>
      <c r="S27" s="167">
        <v>96</v>
      </c>
      <c r="T27" s="167"/>
      <c r="U27" s="167"/>
      <c r="V27" s="167"/>
      <c r="W27" s="167"/>
      <c r="X27" s="167"/>
      <c r="Y27" s="167"/>
      <c r="Z27" s="167"/>
      <c r="AA27" s="167">
        <v>171</v>
      </c>
      <c r="AB27" s="167"/>
      <c r="AC27" s="167"/>
      <c r="AD27" s="167"/>
      <c r="AE27" s="167"/>
      <c r="AF27" s="167"/>
      <c r="AG27" s="167"/>
      <c r="AH27" s="167"/>
      <c r="AI27" s="167">
        <v>170</v>
      </c>
      <c r="AJ27" s="167"/>
      <c r="AK27" s="167"/>
      <c r="AL27" s="167"/>
      <c r="AM27" s="167"/>
      <c r="AN27" s="167"/>
      <c r="AO27" s="167">
        <v>224</v>
      </c>
      <c r="AP27" s="167"/>
      <c r="AQ27" s="167"/>
      <c r="AR27" s="167"/>
      <c r="AS27" s="167"/>
      <c r="AT27" s="167">
        <v>172</v>
      </c>
      <c r="AU27" s="167"/>
      <c r="AV27" s="167"/>
      <c r="AW27" s="167"/>
      <c r="AX27" s="167"/>
      <c r="AY27" s="167"/>
      <c r="AZ27" s="167"/>
      <c r="BA27" s="167"/>
      <c r="BB27" s="167">
        <v>178</v>
      </c>
      <c r="BC27" s="167"/>
      <c r="BD27" s="167">
        <v>217</v>
      </c>
      <c r="BE27" s="167"/>
      <c r="BF27" s="167"/>
      <c r="BG27" s="167"/>
      <c r="BH27" s="167"/>
      <c r="BI27" s="167"/>
      <c r="BJ27" s="167">
        <v>209</v>
      </c>
      <c r="BK27" s="167"/>
      <c r="BL27" s="167"/>
      <c r="BM27" s="167"/>
      <c r="BN27" s="167"/>
      <c r="BO27" s="167"/>
      <c r="BP27" s="167">
        <v>208</v>
      </c>
      <c r="BQ27" s="167"/>
      <c r="BR27" s="167"/>
      <c r="BS27" s="167"/>
      <c r="BT27" s="167"/>
      <c r="BU27" s="167"/>
      <c r="BV27" s="167">
        <v>209</v>
      </c>
      <c r="BW27" s="167"/>
      <c r="BX27" s="167"/>
      <c r="BY27" s="167"/>
      <c r="BZ27" s="167"/>
      <c r="CA27" s="167"/>
      <c r="CB27" s="167">
        <v>178</v>
      </c>
      <c r="CC27" s="167"/>
      <c r="CD27" s="167"/>
      <c r="CE27" s="167"/>
      <c r="CF27" s="167"/>
      <c r="CG27" s="167"/>
      <c r="CH27" s="167"/>
      <c r="CI27" s="167"/>
      <c r="CJ27" s="167">
        <v>208</v>
      </c>
      <c r="CK27" s="167"/>
      <c r="CL27" s="167"/>
      <c r="CM27" s="167"/>
      <c r="CN27" s="167"/>
      <c r="CO27" s="167"/>
      <c r="CP27" s="167"/>
      <c r="CQ27" s="167">
        <v>211</v>
      </c>
      <c r="CR27" s="167"/>
      <c r="CS27" s="167"/>
      <c r="CT27" s="167"/>
      <c r="CU27" s="167"/>
      <c r="CV27" s="167"/>
      <c r="CW27" s="167"/>
      <c r="CX27" s="167"/>
      <c r="CY27" s="167"/>
      <c r="CZ27" s="167"/>
      <c r="DA27" s="167">
        <v>199</v>
      </c>
      <c r="DB27" s="167"/>
      <c r="DC27" s="167"/>
      <c r="DD27" s="167"/>
      <c r="DE27" s="167"/>
      <c r="DF27" s="167">
        <v>178</v>
      </c>
      <c r="DG27" s="167"/>
      <c r="DH27" s="167"/>
      <c r="DI27" s="167"/>
      <c r="DJ27" s="167"/>
      <c r="DK27" s="167"/>
      <c r="DL27" s="167"/>
      <c r="DM27" s="167"/>
      <c r="DN27" s="167"/>
      <c r="DO27" s="167">
        <v>95</v>
      </c>
      <c r="DP27" s="167"/>
      <c r="DQ27" s="167"/>
      <c r="DR27" s="167">
        <v>64</v>
      </c>
      <c r="DS27" s="167">
        <v>67</v>
      </c>
      <c r="DT27" s="167"/>
      <c r="DU27" s="168"/>
      <c r="DV27" s="168"/>
      <c r="DW27" s="168"/>
      <c r="DX27" s="168"/>
      <c r="DY27" s="168">
        <v>179</v>
      </c>
      <c r="DZ27" s="168"/>
      <c r="EA27" s="168"/>
      <c r="EB27" s="168"/>
      <c r="EC27" s="168"/>
      <c r="ED27" s="168"/>
      <c r="EE27" s="168"/>
      <c r="EF27" s="168"/>
      <c r="EG27" s="168"/>
      <c r="EH27" s="168"/>
      <c r="EI27" s="168"/>
      <c r="EJ27" s="168"/>
      <c r="EK27" s="168"/>
      <c r="EL27" s="168"/>
      <c r="EM27" s="168"/>
      <c r="EN27" s="168"/>
      <c r="EO27" s="167"/>
      <c r="EP27" s="167"/>
      <c r="EQ27" s="167"/>
      <c r="ER27" s="167"/>
      <c r="ES27" s="167"/>
      <c r="ET27" s="167"/>
      <c r="EU27" s="167">
        <v>204</v>
      </c>
      <c r="EV27" s="167"/>
      <c r="EW27" s="167"/>
      <c r="EX27" s="167"/>
      <c r="EY27" s="167"/>
      <c r="EZ27" s="167"/>
      <c r="FA27" s="167"/>
      <c r="FB27" s="167"/>
      <c r="FC27" s="167"/>
      <c r="FD27" s="167"/>
      <c r="FE27" s="167"/>
      <c r="FF27" s="167"/>
      <c r="FG27" s="167"/>
      <c r="FH27" s="167"/>
      <c r="FI27" s="167"/>
      <c r="FJ27" s="167"/>
      <c r="FK27" s="167"/>
      <c r="FL27" s="167"/>
      <c r="FM27" s="167"/>
      <c r="FN27" s="167"/>
      <c r="FO27" s="167"/>
      <c r="FP27" s="167"/>
      <c r="FQ27" s="167"/>
      <c r="FR27" s="167"/>
      <c r="FS27" s="167"/>
      <c r="FT27" s="167"/>
      <c r="FU27" s="167"/>
      <c r="FV27" s="167"/>
      <c r="FW27" s="167"/>
      <c r="FX27" s="167"/>
      <c r="FY27" s="167"/>
      <c r="FZ27" s="167"/>
      <c r="GA27" s="167"/>
      <c r="GB27" s="167"/>
      <c r="GC27" s="167"/>
      <c r="GD27" s="167"/>
      <c r="GE27" s="167"/>
      <c r="GF27" s="167"/>
      <c r="GG27" s="167"/>
      <c r="GH27" s="167"/>
      <c r="GI27" s="167"/>
      <c r="GJ27" s="167"/>
      <c r="GK27" s="167"/>
      <c r="GL27" s="167"/>
      <c r="GM27" s="167"/>
      <c r="GN27" s="167"/>
      <c r="GO27" s="167"/>
      <c r="GP27" s="167"/>
      <c r="GQ27" s="167"/>
      <c r="GR27" s="167"/>
      <c r="GS27" s="167"/>
      <c r="GT27" s="167"/>
      <c r="GU27" s="167"/>
      <c r="GV27" s="167"/>
      <c r="GW27" s="167"/>
      <c r="GX27" s="167"/>
      <c r="GY27" s="167"/>
      <c r="GZ27" s="167"/>
      <c r="HA27" s="167"/>
      <c r="HB27" s="167"/>
      <c r="HC27" s="167"/>
      <c r="HD27" s="167"/>
      <c r="HE27" s="167"/>
      <c r="HF27" s="167"/>
      <c r="HG27" s="167"/>
      <c r="HH27" s="167"/>
      <c r="HI27" s="167"/>
      <c r="HJ27" s="167"/>
      <c r="HK27" s="167"/>
      <c r="HL27" s="167"/>
      <c r="HM27" s="167"/>
      <c r="HN27" s="167"/>
      <c r="HO27" s="167"/>
      <c r="HP27" s="167"/>
      <c r="HQ27" s="167"/>
      <c r="HR27" s="167"/>
      <c r="HS27" s="167"/>
      <c r="HT27" s="167"/>
      <c r="HU27" s="167"/>
      <c r="HV27" s="167"/>
      <c r="HW27" s="167"/>
      <c r="HX27" s="167"/>
      <c r="HY27" s="167"/>
      <c r="HZ27" s="167"/>
      <c r="IA27" s="167"/>
      <c r="IB27" s="167"/>
      <c r="IC27" s="167"/>
      <c r="ID27" s="167"/>
      <c r="IE27" s="167"/>
      <c r="IF27" s="167"/>
      <c r="IG27" s="167"/>
      <c r="IH27" s="167"/>
      <c r="II27" s="167"/>
      <c r="IJ27" s="167"/>
      <c r="IK27" s="167"/>
      <c r="IL27" s="167"/>
      <c r="IM27" s="167"/>
      <c r="IN27" s="167"/>
      <c r="IO27" s="167"/>
      <c r="IP27" s="167"/>
      <c r="IQ27" s="167"/>
      <c r="IR27" s="167"/>
      <c r="IS27" s="167"/>
      <c r="IT27" s="167"/>
      <c r="IU27" s="167"/>
      <c r="IV27" s="167"/>
      <c r="IW27" s="167"/>
      <c r="IX27" s="167"/>
      <c r="IY27" s="167"/>
      <c r="IZ27" s="167"/>
      <c r="JA27" s="167"/>
      <c r="JB27" s="167"/>
      <c r="JC27" s="167"/>
      <c r="JD27" s="167"/>
      <c r="JE27" s="167"/>
      <c r="JF27" s="167"/>
      <c r="JG27" s="167"/>
      <c r="JH27" s="167"/>
      <c r="JI27" s="167"/>
      <c r="JJ27" s="167"/>
      <c r="JK27" s="167"/>
      <c r="JL27" s="167"/>
      <c r="JM27" s="167"/>
      <c r="JN27" s="167"/>
      <c r="JO27" s="167"/>
      <c r="JP27" s="167"/>
      <c r="JQ27" s="167"/>
      <c r="JR27" s="167"/>
      <c r="JS27" s="167"/>
      <c r="JT27" s="167"/>
      <c r="JU27" s="167"/>
      <c r="JV27" s="167"/>
      <c r="JW27" s="167"/>
      <c r="JX27" s="167"/>
      <c r="JY27" s="167"/>
      <c r="JZ27" s="167"/>
      <c r="KA27" s="167"/>
      <c r="KB27" s="167"/>
      <c r="KC27" s="167"/>
      <c r="KD27" s="167"/>
      <c r="KE27" s="167"/>
      <c r="KF27" s="167"/>
      <c r="KG27" s="167"/>
      <c r="KH27" s="167"/>
      <c r="KI27" s="167"/>
      <c r="KJ27" s="167"/>
      <c r="KK27" s="167"/>
      <c r="KL27" s="167"/>
      <c r="KM27" s="167"/>
      <c r="KN27" s="167"/>
      <c r="KO27" s="167"/>
      <c r="KP27" s="167"/>
      <c r="KQ27" s="167"/>
      <c r="KR27" s="167"/>
      <c r="KS27" s="167"/>
      <c r="KT27" s="167"/>
      <c r="KU27" s="167"/>
      <c r="KV27" s="167"/>
      <c r="KW27" s="167"/>
      <c r="KX27" s="167"/>
      <c r="KY27" s="167"/>
      <c r="KZ27" s="167"/>
      <c r="LA27" s="167"/>
      <c r="LB27" s="167"/>
      <c r="LC27" s="167"/>
      <c r="LD27" s="167"/>
      <c r="LE27" s="167"/>
      <c r="LF27" s="167"/>
      <c r="LG27" s="167"/>
      <c r="LH27" s="167"/>
      <c r="LI27" s="167"/>
      <c r="LJ27" s="167"/>
      <c r="LK27" s="167"/>
      <c r="LL27" s="167"/>
      <c r="LM27" s="167"/>
      <c r="LN27" s="167"/>
      <c r="LO27" s="167"/>
      <c r="LP27" s="167"/>
      <c r="LQ27" s="167"/>
      <c r="LR27" s="167"/>
      <c r="LS27" s="167"/>
      <c r="LT27" s="167"/>
      <c r="LU27" s="167"/>
      <c r="LV27" s="167"/>
      <c r="LW27" s="167"/>
      <c r="LX27" s="167"/>
      <c r="LY27" s="167"/>
      <c r="LZ27" s="167"/>
      <c r="MA27" s="167"/>
      <c r="MB27" s="167"/>
      <c r="MC27" s="167"/>
      <c r="MD27" s="167"/>
      <c r="ME27" s="167"/>
      <c r="MF27" s="167"/>
      <c r="MG27" s="167"/>
      <c r="MH27" s="167"/>
      <c r="MI27" s="167"/>
      <c r="MJ27" s="167"/>
      <c r="MK27" s="167"/>
      <c r="ML27" s="167"/>
      <c r="MM27" s="169"/>
      <c r="MN27" s="167"/>
      <c r="MO27" s="167"/>
      <c r="MP27" s="167"/>
      <c r="MQ27" s="167"/>
      <c r="MR27" s="167"/>
      <c r="MS27" s="167"/>
      <c r="MT27" s="167"/>
      <c r="MU27" s="167"/>
      <c r="MV27" s="167"/>
      <c r="MW27" s="167"/>
      <c r="MX27" s="167"/>
      <c r="MY27" s="167"/>
      <c r="MZ27" s="167"/>
      <c r="NA27" s="167"/>
      <c r="NB27" s="167"/>
      <c r="NC27" s="167"/>
      <c r="ND27" s="167"/>
      <c r="NE27" s="167"/>
    </row>
    <row r="28" spans="1:369" ht="16" thickBot="1" x14ac:dyDescent="0.25">
      <c r="A28" s="25" t="s">
        <v>169</v>
      </c>
      <c r="B28" s="213">
        <v>527</v>
      </c>
      <c r="C28" s="84"/>
      <c r="D28" s="83"/>
      <c r="E28" s="83"/>
      <c r="F28" s="83"/>
      <c r="G28" s="83"/>
      <c r="H28" s="83"/>
      <c r="I28" s="83"/>
      <c r="J28" s="83"/>
      <c r="K28" s="83"/>
      <c r="L28" s="83">
        <v>163</v>
      </c>
      <c r="M28" s="83"/>
      <c r="N28" s="83"/>
      <c r="O28" s="83"/>
      <c r="P28" s="83"/>
      <c r="Q28" s="83">
        <v>161</v>
      </c>
      <c r="R28" s="83"/>
      <c r="S28" s="83">
        <v>201</v>
      </c>
      <c r="T28" s="83"/>
      <c r="U28" s="83"/>
      <c r="V28" s="83"/>
      <c r="W28" s="83"/>
      <c r="X28" s="83"/>
      <c r="Y28" s="83"/>
      <c r="Z28" s="83"/>
      <c r="AA28" s="83">
        <v>440</v>
      </c>
      <c r="AB28" s="83"/>
      <c r="AC28" s="83"/>
      <c r="AD28" s="83"/>
      <c r="AE28" s="83"/>
      <c r="AF28" s="83"/>
      <c r="AG28" s="83"/>
      <c r="AH28" s="83">
        <v>325</v>
      </c>
      <c r="AI28" s="83"/>
      <c r="AJ28" s="83"/>
      <c r="AK28" s="83"/>
      <c r="AL28" s="83"/>
      <c r="AM28" s="83"/>
      <c r="AN28" s="83"/>
      <c r="AO28" s="83">
        <v>392</v>
      </c>
      <c r="AP28" s="83"/>
      <c r="AQ28" s="83"/>
      <c r="AR28" s="83"/>
      <c r="AS28" s="83"/>
      <c r="AT28" s="83"/>
      <c r="AU28" s="83">
        <v>418</v>
      </c>
      <c r="AV28" s="83"/>
      <c r="AW28" s="83"/>
      <c r="AX28" s="83"/>
      <c r="AY28" s="83"/>
      <c r="AZ28" s="83"/>
      <c r="BA28" s="83"/>
      <c r="BB28" s="83">
        <v>318</v>
      </c>
      <c r="BC28" s="83"/>
      <c r="BD28" s="83"/>
      <c r="BE28" s="83"/>
      <c r="BF28" s="83"/>
      <c r="BG28" s="83">
        <v>326</v>
      </c>
      <c r="BH28" s="83"/>
      <c r="BI28" s="83"/>
      <c r="BJ28" s="83">
        <v>73</v>
      </c>
      <c r="BK28" s="83">
        <v>286</v>
      </c>
      <c r="BL28" s="83"/>
      <c r="BM28" s="83"/>
      <c r="BN28" s="83"/>
      <c r="BO28" s="83"/>
      <c r="BP28" s="83">
        <v>391</v>
      </c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>
        <v>356</v>
      </c>
      <c r="CC28" s="83"/>
      <c r="CD28" s="83"/>
      <c r="CE28" s="83"/>
      <c r="CF28" s="83">
        <v>380</v>
      </c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>
        <v>405</v>
      </c>
      <c r="CR28" s="83"/>
      <c r="CS28" s="83"/>
      <c r="CT28" s="83"/>
      <c r="CU28" s="83"/>
      <c r="CV28" s="83"/>
      <c r="CW28" s="83"/>
      <c r="CX28" s="83"/>
      <c r="CY28" s="83"/>
      <c r="CZ28" s="83"/>
      <c r="DA28" s="83">
        <v>364</v>
      </c>
      <c r="DB28" s="83"/>
      <c r="DC28" s="83"/>
      <c r="DD28" s="83"/>
      <c r="DE28" s="83"/>
      <c r="DF28" s="83">
        <v>337</v>
      </c>
      <c r="DG28" s="83"/>
      <c r="DH28" s="83"/>
      <c r="DI28" s="83"/>
      <c r="DJ28" s="83"/>
      <c r="DK28" s="83"/>
      <c r="DL28" s="83"/>
      <c r="DM28" s="83"/>
      <c r="DN28" s="83"/>
      <c r="DO28" s="83">
        <v>152</v>
      </c>
      <c r="DP28" s="83"/>
      <c r="DQ28" s="83"/>
      <c r="DR28" s="83">
        <v>211</v>
      </c>
      <c r="DS28" s="83">
        <v>211</v>
      </c>
      <c r="DT28" s="83"/>
      <c r="DU28" s="83"/>
      <c r="DV28" s="83"/>
      <c r="DW28" s="83"/>
      <c r="DX28" s="83"/>
      <c r="DY28" s="83">
        <v>326</v>
      </c>
      <c r="DZ28" s="83"/>
      <c r="EA28" s="83"/>
      <c r="EB28" s="83"/>
      <c r="EC28" s="83"/>
      <c r="ED28" s="83"/>
      <c r="EE28" s="83"/>
      <c r="EF28" s="83"/>
      <c r="EG28" s="83"/>
      <c r="EH28" s="83"/>
      <c r="EI28" s="83"/>
      <c r="EJ28" s="83"/>
      <c r="EK28" s="83"/>
      <c r="EL28" s="83"/>
      <c r="EM28" s="83">
        <v>370</v>
      </c>
      <c r="EN28" s="83"/>
      <c r="EO28" s="83"/>
      <c r="EP28" s="83"/>
      <c r="EQ28" s="83"/>
      <c r="ER28" s="83"/>
      <c r="ES28" s="83"/>
      <c r="ET28" s="83"/>
      <c r="EU28" s="83"/>
      <c r="EV28" s="83"/>
      <c r="EW28" s="83"/>
      <c r="EX28" s="83"/>
      <c r="EY28" s="83"/>
      <c r="EZ28" s="83"/>
      <c r="FA28" s="83"/>
      <c r="FB28" s="83">
        <v>454</v>
      </c>
      <c r="FC28" s="83"/>
      <c r="FD28" s="83"/>
      <c r="FE28" s="83"/>
      <c r="FF28" s="83"/>
      <c r="FG28" s="83"/>
      <c r="FH28" s="83"/>
      <c r="FI28" s="83"/>
      <c r="FJ28" s="83"/>
      <c r="FK28" s="83"/>
      <c r="FL28" s="83"/>
      <c r="FM28" s="83"/>
      <c r="FN28" s="83"/>
      <c r="FO28" s="83"/>
      <c r="FP28" s="83"/>
      <c r="FQ28" s="83"/>
      <c r="FR28" s="83"/>
      <c r="FS28" s="83"/>
      <c r="FT28" s="83"/>
      <c r="FU28" s="83"/>
      <c r="FV28" s="83"/>
      <c r="FW28" s="83"/>
      <c r="FX28" s="83"/>
      <c r="FY28" s="83"/>
      <c r="FZ28" s="83"/>
      <c r="GA28" s="83"/>
      <c r="GB28" s="83"/>
      <c r="GC28" s="83"/>
      <c r="GD28" s="83"/>
      <c r="GE28" s="83"/>
      <c r="GF28" s="83"/>
      <c r="GG28" s="83"/>
      <c r="GH28" s="83"/>
      <c r="GI28" s="83"/>
      <c r="GJ28" s="83"/>
      <c r="GK28" s="83"/>
      <c r="GL28" s="83"/>
      <c r="GM28" s="83"/>
      <c r="GN28" s="83"/>
      <c r="GO28" s="83"/>
      <c r="GP28" s="83"/>
      <c r="GQ28" s="83"/>
      <c r="GR28" s="83"/>
      <c r="GS28" s="83"/>
      <c r="GT28" s="83"/>
      <c r="GU28" s="83"/>
      <c r="GV28" s="83"/>
      <c r="GW28" s="83"/>
      <c r="GX28" s="83"/>
      <c r="GY28" s="83"/>
      <c r="GZ28" s="83"/>
      <c r="HA28" s="83"/>
      <c r="HB28" s="83"/>
      <c r="HC28" s="83"/>
      <c r="HD28" s="83"/>
      <c r="HE28" s="83"/>
      <c r="HF28" s="83"/>
      <c r="HG28" s="83"/>
      <c r="HH28" s="83"/>
      <c r="HI28" s="83"/>
      <c r="HJ28" s="83"/>
      <c r="HK28" s="83"/>
      <c r="HL28" s="83"/>
      <c r="HM28" s="83"/>
      <c r="HN28" s="83"/>
      <c r="HO28" s="83"/>
      <c r="HP28" s="83"/>
      <c r="HQ28" s="83"/>
      <c r="HR28" s="83"/>
      <c r="HS28" s="83"/>
      <c r="HT28" s="83"/>
      <c r="HU28" s="83"/>
      <c r="HV28" s="83"/>
      <c r="HW28" s="83"/>
      <c r="HX28" s="83"/>
      <c r="HY28" s="83"/>
      <c r="HZ28" s="83"/>
      <c r="IA28" s="83"/>
      <c r="IB28" s="83"/>
      <c r="IC28" s="83"/>
      <c r="ID28" s="83"/>
      <c r="IE28" s="83"/>
      <c r="IF28" s="83"/>
      <c r="IG28" s="83"/>
      <c r="IH28" s="83"/>
      <c r="II28" s="83"/>
      <c r="IJ28" s="83"/>
      <c r="IK28" s="83"/>
      <c r="IL28" s="83"/>
      <c r="IM28" s="83"/>
      <c r="IN28" s="83"/>
      <c r="IO28" s="83"/>
      <c r="IP28" s="83"/>
      <c r="IQ28" s="83"/>
      <c r="IR28" s="83"/>
      <c r="IS28" s="83"/>
      <c r="IT28" s="83"/>
      <c r="IU28" s="83"/>
      <c r="IV28" s="83"/>
      <c r="IW28" s="83"/>
      <c r="IX28" s="83"/>
      <c r="IY28" s="83"/>
      <c r="IZ28" s="83"/>
      <c r="JA28" s="83"/>
      <c r="JB28" s="83"/>
      <c r="JC28" s="83"/>
      <c r="JD28" s="83"/>
      <c r="JE28" s="83"/>
      <c r="JF28" s="83"/>
      <c r="JG28" s="83"/>
      <c r="JH28" s="83"/>
      <c r="JI28" s="83"/>
      <c r="JJ28" s="83"/>
      <c r="JK28" s="83"/>
      <c r="JL28" s="83"/>
      <c r="JM28" s="83"/>
      <c r="JN28" s="83"/>
      <c r="JO28" s="83"/>
      <c r="JP28" s="83"/>
      <c r="JQ28" s="83"/>
      <c r="JR28" s="83"/>
      <c r="JS28" s="83"/>
      <c r="JT28" s="83"/>
      <c r="JU28" s="83"/>
      <c r="JV28" s="83"/>
      <c r="JW28" s="83"/>
      <c r="JX28" s="83"/>
      <c r="JY28" s="83"/>
      <c r="JZ28" s="83"/>
      <c r="KA28" s="83"/>
      <c r="KB28" s="83"/>
      <c r="KC28" s="83"/>
      <c r="KD28" s="83"/>
      <c r="KE28" s="83"/>
      <c r="KF28" s="83"/>
      <c r="KG28" s="83"/>
      <c r="KH28" s="83"/>
      <c r="KI28" s="83"/>
      <c r="KJ28" s="83"/>
      <c r="KK28" s="83"/>
      <c r="KL28" s="83"/>
      <c r="KM28" s="83"/>
      <c r="KN28" s="83"/>
      <c r="KO28" s="83"/>
      <c r="KP28" s="83"/>
      <c r="KQ28" s="83"/>
      <c r="KR28" s="83"/>
      <c r="KS28" s="83"/>
      <c r="KT28" s="83"/>
      <c r="KU28" s="83"/>
      <c r="KV28" s="83"/>
      <c r="KW28" s="83"/>
      <c r="KX28" s="83"/>
      <c r="KY28" s="83"/>
      <c r="KZ28" s="83"/>
      <c r="LA28" s="83"/>
      <c r="LB28" s="83"/>
      <c r="LC28" s="83"/>
      <c r="LD28" s="83"/>
      <c r="LE28" s="83"/>
      <c r="LF28" s="83"/>
      <c r="LG28" s="83"/>
      <c r="LH28" s="83"/>
      <c r="LI28" s="83"/>
      <c r="LJ28" s="83"/>
      <c r="LK28" s="83"/>
      <c r="LL28" s="83"/>
      <c r="LM28" s="83"/>
      <c r="LN28" s="83"/>
      <c r="LO28" s="83"/>
      <c r="LP28" s="83"/>
      <c r="LQ28" s="83"/>
      <c r="LR28" s="83"/>
      <c r="LS28" s="83"/>
      <c r="LT28" s="83"/>
      <c r="LU28" s="83"/>
      <c r="LV28" s="83"/>
      <c r="LW28" s="83"/>
      <c r="LX28" s="83"/>
      <c r="LY28" s="83"/>
      <c r="LZ28" s="83"/>
      <c r="MA28" s="83"/>
      <c r="MB28" s="83"/>
      <c r="MC28" s="83"/>
      <c r="MD28" s="83"/>
      <c r="ME28" s="83"/>
      <c r="MF28" s="83"/>
      <c r="MG28" s="83"/>
      <c r="MH28" s="83"/>
      <c r="MI28" s="83"/>
      <c r="MJ28" s="83"/>
      <c r="MK28" s="83"/>
      <c r="ML28" s="83"/>
      <c r="MM28" s="83"/>
      <c r="MN28" s="83"/>
      <c r="MO28" s="83"/>
      <c r="MP28" s="83"/>
      <c r="MQ28" s="83"/>
      <c r="MR28" s="83"/>
      <c r="MS28" s="83"/>
      <c r="MT28" s="83"/>
      <c r="MU28" s="83"/>
      <c r="MV28" s="83"/>
      <c r="MW28" s="83"/>
      <c r="MX28" s="83"/>
      <c r="MY28" s="83"/>
      <c r="MZ28" s="83"/>
      <c r="NA28" s="83"/>
      <c r="NB28" s="83"/>
      <c r="NC28" s="83"/>
      <c r="ND28" s="83"/>
      <c r="NE28" s="83"/>
    </row>
    <row r="29" spans="1:369" x14ac:dyDescent="0.2">
      <c r="A29" s="23"/>
      <c r="B29" s="211"/>
      <c r="C29" s="77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  <c r="CV29" s="78"/>
      <c r="CW29" s="78"/>
      <c r="CX29" s="78"/>
      <c r="CY29" s="78"/>
      <c r="CZ29" s="78"/>
      <c r="DA29" s="78"/>
      <c r="DB29" s="78"/>
      <c r="DC29" s="78"/>
      <c r="DD29" s="78"/>
      <c r="DE29" s="78"/>
      <c r="DF29" s="78"/>
      <c r="DG29" s="78"/>
      <c r="DH29" s="78"/>
      <c r="DI29" s="78"/>
      <c r="DJ29" s="78"/>
      <c r="DK29" s="78"/>
      <c r="DL29" s="78"/>
      <c r="DM29" s="78"/>
      <c r="DN29" s="78"/>
      <c r="DO29" s="78"/>
      <c r="DP29" s="78"/>
      <c r="DQ29" s="78"/>
      <c r="DR29" s="78"/>
      <c r="DS29" s="78"/>
      <c r="DT29" s="78"/>
      <c r="DU29" s="78"/>
      <c r="DV29" s="78"/>
      <c r="DW29" s="78"/>
      <c r="DX29" s="78"/>
      <c r="DY29" s="78"/>
      <c r="DZ29" s="78"/>
      <c r="EA29" s="78"/>
      <c r="EB29" s="78"/>
      <c r="EC29" s="78"/>
      <c r="ED29" s="78"/>
      <c r="EE29" s="78"/>
      <c r="EF29" s="78"/>
      <c r="EG29" s="78"/>
      <c r="EH29" s="78"/>
      <c r="EI29" s="78"/>
      <c r="EJ29" s="78"/>
      <c r="EK29" s="78"/>
      <c r="EL29" s="78"/>
      <c r="EM29" s="78"/>
      <c r="EN29" s="78"/>
      <c r="EO29" s="78"/>
      <c r="EP29" s="78"/>
      <c r="EQ29" s="78"/>
      <c r="ER29" s="78"/>
      <c r="ES29" s="78"/>
      <c r="ET29" s="78"/>
      <c r="EU29" s="78"/>
      <c r="EV29" s="78"/>
      <c r="EW29" s="78"/>
      <c r="EX29" s="78"/>
      <c r="EY29" s="78"/>
      <c r="EZ29" s="78"/>
      <c r="FA29" s="78"/>
      <c r="FB29" s="78"/>
      <c r="FC29" s="78"/>
      <c r="FD29" s="78"/>
      <c r="FE29" s="78"/>
      <c r="FF29" s="78"/>
      <c r="FG29" s="78"/>
      <c r="FH29" s="78"/>
      <c r="FI29" s="78"/>
      <c r="FJ29" s="78"/>
      <c r="FK29" s="78"/>
      <c r="FL29" s="78"/>
      <c r="FM29" s="78"/>
      <c r="FN29" s="78"/>
      <c r="FO29" s="78"/>
      <c r="FP29" s="78"/>
      <c r="FQ29" s="78"/>
      <c r="FR29" s="78"/>
      <c r="FS29" s="78"/>
      <c r="FT29" s="78"/>
      <c r="FU29" s="78"/>
      <c r="FV29" s="78"/>
      <c r="FW29" s="78"/>
      <c r="FX29" s="78"/>
      <c r="FY29" s="78"/>
      <c r="FZ29" s="78"/>
      <c r="GA29" s="78"/>
      <c r="GB29" s="78"/>
      <c r="GC29" s="78"/>
      <c r="GD29" s="78"/>
      <c r="GE29" s="78"/>
      <c r="GF29" s="78"/>
      <c r="GG29" s="78"/>
      <c r="GH29" s="78"/>
      <c r="GI29" s="78"/>
      <c r="GJ29" s="78"/>
      <c r="GK29" s="78"/>
      <c r="GL29" s="78"/>
      <c r="GM29" s="78"/>
      <c r="GN29" s="78"/>
      <c r="GO29" s="78"/>
      <c r="GP29" s="78"/>
      <c r="GQ29" s="78"/>
      <c r="GR29" s="78"/>
      <c r="GS29" s="78"/>
      <c r="GT29" s="78"/>
      <c r="GU29" s="78"/>
      <c r="GV29" s="78"/>
      <c r="GW29" s="78"/>
      <c r="GX29" s="78"/>
      <c r="GY29" s="78"/>
      <c r="GZ29" s="78"/>
      <c r="HA29" s="78"/>
      <c r="HB29" s="78"/>
      <c r="HC29" s="78"/>
      <c r="HD29" s="78"/>
      <c r="HE29" s="78"/>
      <c r="HF29" s="78"/>
      <c r="HG29" s="78"/>
      <c r="HH29" s="78"/>
      <c r="HI29" s="78"/>
      <c r="HJ29" s="78"/>
      <c r="HK29" s="78"/>
      <c r="HL29" s="78"/>
      <c r="HM29" s="78"/>
      <c r="HN29" s="78"/>
      <c r="HO29" s="78"/>
      <c r="HP29" s="78"/>
      <c r="HQ29" s="78"/>
      <c r="HR29" s="78"/>
      <c r="HS29" s="78"/>
      <c r="HT29" s="78"/>
      <c r="HU29" s="78"/>
      <c r="HV29" s="78"/>
      <c r="HW29" s="78"/>
      <c r="HX29" s="78"/>
      <c r="HY29" s="78"/>
      <c r="HZ29" s="78"/>
      <c r="IA29" s="78"/>
      <c r="IB29" s="78"/>
      <c r="IC29" s="78"/>
      <c r="ID29" s="78"/>
      <c r="IE29" s="78"/>
      <c r="IF29" s="78"/>
      <c r="IG29" s="78"/>
      <c r="IH29" s="78"/>
      <c r="II29" s="78"/>
      <c r="IJ29" s="78"/>
      <c r="IK29" s="78"/>
      <c r="IL29" s="78"/>
      <c r="IM29" s="78"/>
      <c r="IN29" s="78"/>
      <c r="IO29" s="78"/>
      <c r="IP29" s="78"/>
      <c r="IQ29" s="78"/>
      <c r="IR29" s="78"/>
      <c r="IS29" s="78"/>
      <c r="IT29" s="78"/>
      <c r="IU29" s="78"/>
      <c r="IV29" s="78"/>
      <c r="IW29" s="78"/>
      <c r="IX29" s="78"/>
      <c r="IY29" s="78"/>
      <c r="IZ29" s="78"/>
      <c r="JA29" s="78"/>
      <c r="JB29" s="78"/>
      <c r="JC29" s="78"/>
      <c r="JD29" s="78"/>
      <c r="JE29" s="78"/>
      <c r="JG29" s="78"/>
      <c r="JH29" s="78"/>
      <c r="JI29" s="78"/>
      <c r="JJ29" s="78"/>
      <c r="JK29" s="78"/>
      <c r="JL29" s="78"/>
      <c r="JM29" s="78"/>
      <c r="JN29" s="78"/>
      <c r="JO29" s="78"/>
      <c r="JP29" s="78"/>
      <c r="JQ29" s="78"/>
      <c r="JR29" s="78"/>
      <c r="JS29" s="78"/>
      <c r="JT29" s="78"/>
      <c r="JU29" s="78"/>
      <c r="JV29" s="78"/>
      <c r="JW29" s="78"/>
      <c r="JX29" s="78"/>
      <c r="JY29" s="78"/>
      <c r="JZ29" s="78"/>
      <c r="KA29" s="78"/>
      <c r="KB29" s="78"/>
      <c r="KC29" s="78"/>
      <c r="KD29" s="78"/>
      <c r="KE29" s="78"/>
      <c r="KF29" s="78"/>
      <c r="KG29" s="78"/>
      <c r="KH29" s="78"/>
      <c r="KI29" s="78"/>
      <c r="KJ29" s="78"/>
      <c r="KK29" s="78"/>
      <c r="KL29" s="78"/>
      <c r="KM29" s="78"/>
      <c r="KN29" s="78"/>
      <c r="KO29" s="78"/>
      <c r="KP29" s="78"/>
      <c r="KQ29" s="78"/>
      <c r="KR29" s="78"/>
      <c r="KS29" s="78"/>
      <c r="KT29" s="78"/>
      <c r="KU29" s="78"/>
      <c r="KV29" s="78"/>
      <c r="KW29" s="78"/>
      <c r="KX29" s="78"/>
      <c r="KY29" s="78"/>
      <c r="KZ29" s="78"/>
      <c r="LA29" s="78"/>
      <c r="LB29" s="78"/>
      <c r="LC29" s="78"/>
      <c r="LD29" s="78"/>
      <c r="LE29" s="78"/>
      <c r="LF29" s="78"/>
      <c r="LG29" s="78"/>
      <c r="LH29" s="78"/>
      <c r="LI29" s="78"/>
      <c r="LJ29" s="78"/>
      <c r="LK29" s="78"/>
      <c r="LL29" s="78"/>
      <c r="LM29" s="78"/>
      <c r="LN29" s="78"/>
      <c r="LO29" s="78"/>
      <c r="LP29" s="78"/>
      <c r="LQ29" s="78"/>
      <c r="LR29" s="78"/>
      <c r="LS29" s="78"/>
      <c r="LT29" s="78"/>
      <c r="LU29" s="78"/>
      <c r="LV29" s="78"/>
      <c r="LW29" s="78"/>
      <c r="LX29" s="78"/>
      <c r="LY29" s="78"/>
      <c r="LZ29" s="78"/>
      <c r="MA29" s="78"/>
      <c r="MB29" s="78"/>
      <c r="MC29" s="78"/>
      <c r="MD29" s="78"/>
      <c r="ME29" s="78"/>
      <c r="MF29" s="78"/>
      <c r="MG29" s="78"/>
      <c r="MH29" s="78"/>
      <c r="MI29" s="78"/>
      <c r="MJ29" s="78"/>
      <c r="MK29" s="78"/>
      <c r="ML29" s="78"/>
      <c r="MM29" s="78"/>
      <c r="MN29" s="78"/>
      <c r="MO29" s="78"/>
      <c r="MP29" s="78"/>
      <c r="MQ29" s="78"/>
      <c r="MR29" s="78"/>
      <c r="MS29" s="78"/>
      <c r="MT29" s="78"/>
      <c r="MU29" s="78"/>
      <c r="MV29" s="78"/>
      <c r="MW29" s="78"/>
      <c r="MX29" s="78"/>
      <c r="MY29" s="78"/>
      <c r="MZ29" s="78"/>
      <c r="NA29" s="78"/>
      <c r="NB29" s="78"/>
      <c r="NC29" s="78"/>
      <c r="ND29" s="78"/>
      <c r="NE29" s="78"/>
    </row>
    <row r="30" spans="1:369" ht="16" thickBot="1" x14ac:dyDescent="0.25">
      <c r="A30" s="24" t="s">
        <v>91</v>
      </c>
      <c r="B30" s="214">
        <v>5877</v>
      </c>
      <c r="C30" s="84"/>
      <c r="D30" s="83">
        <v>332</v>
      </c>
      <c r="E30" s="83"/>
      <c r="F30" s="83"/>
      <c r="G30" s="83"/>
      <c r="H30" s="83"/>
      <c r="I30" s="83"/>
      <c r="J30" s="83">
        <v>531</v>
      </c>
      <c r="K30" s="83">
        <v>667</v>
      </c>
      <c r="L30" s="83">
        <v>541</v>
      </c>
      <c r="M30" s="83">
        <v>670</v>
      </c>
      <c r="N30" s="83">
        <v>402</v>
      </c>
      <c r="O30" s="83"/>
      <c r="P30" s="83"/>
      <c r="Q30" s="83">
        <v>600</v>
      </c>
      <c r="R30" s="83">
        <v>540</v>
      </c>
      <c r="S30" s="83">
        <v>584</v>
      </c>
      <c r="T30" s="83">
        <v>468</v>
      </c>
      <c r="U30" s="83">
        <v>364</v>
      </c>
      <c r="V30" s="83"/>
      <c r="W30" s="83"/>
      <c r="X30" s="83">
        <v>518</v>
      </c>
      <c r="Y30" s="83">
        <v>421</v>
      </c>
      <c r="Z30" s="222">
        <v>473</v>
      </c>
      <c r="AA30" s="222">
        <v>213</v>
      </c>
      <c r="AB30" s="222">
        <v>320</v>
      </c>
      <c r="AC30" s="83"/>
      <c r="AD30" s="83"/>
      <c r="AE30" s="222">
        <v>440</v>
      </c>
      <c r="AF30" s="83">
        <v>516</v>
      </c>
      <c r="AG30" s="83">
        <v>276</v>
      </c>
      <c r="AH30" s="83">
        <v>300</v>
      </c>
      <c r="AI30" s="83">
        <v>360</v>
      </c>
      <c r="AJ30" s="83"/>
      <c r="AK30" s="83"/>
      <c r="AL30" s="83">
        <v>199</v>
      </c>
      <c r="AM30" s="83">
        <v>382</v>
      </c>
      <c r="AN30" s="83">
        <v>380</v>
      </c>
      <c r="AO30" s="83">
        <v>342</v>
      </c>
      <c r="AP30" s="83">
        <v>456</v>
      </c>
      <c r="AQ30" s="83"/>
      <c r="AR30" s="83"/>
      <c r="AS30" s="83">
        <v>89</v>
      </c>
      <c r="AT30" s="83">
        <v>398</v>
      </c>
      <c r="AU30" s="83">
        <v>117</v>
      </c>
      <c r="AV30" s="83">
        <v>310</v>
      </c>
      <c r="AW30" s="83">
        <v>230</v>
      </c>
      <c r="AX30" s="83"/>
      <c r="AY30" s="83"/>
      <c r="AZ30" s="83">
        <v>120</v>
      </c>
      <c r="BA30" s="83">
        <v>128</v>
      </c>
      <c r="BB30" s="83">
        <v>96</v>
      </c>
      <c r="BC30" s="83">
        <v>210</v>
      </c>
      <c r="BD30" s="83">
        <v>180</v>
      </c>
      <c r="BE30" s="83"/>
      <c r="BF30" s="83"/>
      <c r="BG30" s="83"/>
      <c r="BH30" s="83">
        <v>270</v>
      </c>
      <c r="BI30" s="83">
        <v>344</v>
      </c>
      <c r="BJ30" s="83">
        <v>288</v>
      </c>
      <c r="BK30" s="83">
        <v>200</v>
      </c>
      <c r="BL30" s="83"/>
      <c r="BM30" s="83"/>
      <c r="BN30" s="83"/>
      <c r="BO30" s="83">
        <v>566</v>
      </c>
      <c r="BP30" s="83"/>
      <c r="BQ30" s="83">
        <v>234</v>
      </c>
      <c r="BR30" s="83">
        <v>268</v>
      </c>
      <c r="BS30" s="83"/>
      <c r="BT30" s="83"/>
      <c r="BU30" s="83">
        <v>330</v>
      </c>
      <c r="BV30" s="83">
        <v>201</v>
      </c>
      <c r="BW30" s="83">
        <v>261</v>
      </c>
      <c r="BX30" s="83"/>
      <c r="BY30" s="83">
        <v>326</v>
      </c>
      <c r="BZ30" s="83"/>
      <c r="CA30" s="83"/>
      <c r="CB30" s="83">
        <v>130</v>
      </c>
      <c r="CC30" s="83">
        <v>325</v>
      </c>
      <c r="CD30" s="83">
        <v>23</v>
      </c>
      <c r="CE30" s="83">
        <v>477</v>
      </c>
      <c r="CF30" s="83"/>
      <c r="CG30" s="83"/>
      <c r="CH30" s="83"/>
      <c r="CI30" s="83">
        <v>208</v>
      </c>
      <c r="CJ30" s="83">
        <v>256</v>
      </c>
      <c r="CK30" s="83"/>
      <c r="CL30" s="83">
        <v>314</v>
      </c>
      <c r="CM30" s="83"/>
      <c r="CN30" s="83"/>
      <c r="CO30" s="83"/>
      <c r="CP30" s="83">
        <v>315</v>
      </c>
      <c r="CQ30" s="83"/>
      <c r="CR30" s="83">
        <v>318</v>
      </c>
      <c r="CS30" s="83">
        <v>200</v>
      </c>
      <c r="CT30" s="83"/>
      <c r="CU30" s="83"/>
      <c r="CV30" s="83"/>
      <c r="CW30" s="83">
        <v>74</v>
      </c>
      <c r="CX30" s="83">
        <v>224</v>
      </c>
      <c r="CY30" s="83"/>
      <c r="CZ30" s="83">
        <v>293</v>
      </c>
      <c r="DA30" s="83">
        <v>93</v>
      </c>
      <c r="DB30" s="83"/>
      <c r="DC30" s="83"/>
      <c r="DD30" s="83"/>
      <c r="DE30" s="83">
        <v>246</v>
      </c>
      <c r="DF30" s="83"/>
      <c r="DG30" s="83">
        <v>176</v>
      </c>
      <c r="DH30" s="83">
        <v>65</v>
      </c>
      <c r="DI30" s="83"/>
      <c r="DJ30" s="83"/>
      <c r="DK30" s="83">
        <v>71</v>
      </c>
      <c r="DL30" s="83"/>
      <c r="DM30" s="83">
        <v>100</v>
      </c>
      <c r="DN30" s="83"/>
      <c r="DO30" s="83"/>
      <c r="DP30" s="83"/>
      <c r="DQ30" s="83"/>
      <c r="DR30" s="83">
        <v>23</v>
      </c>
      <c r="DS30" s="83"/>
      <c r="DT30" s="83">
        <v>88</v>
      </c>
      <c r="DU30" s="83"/>
      <c r="DV30" s="83"/>
      <c r="DW30" s="83"/>
      <c r="DX30" s="83"/>
      <c r="DY30" s="83">
        <v>54</v>
      </c>
      <c r="DZ30" s="83"/>
      <c r="EA30" s="83">
        <v>79</v>
      </c>
      <c r="EB30" s="83"/>
      <c r="EC30" s="83">
        <v>78</v>
      </c>
      <c r="ED30" s="83"/>
      <c r="EE30" s="83"/>
      <c r="EF30" s="83"/>
      <c r="EG30" s="83">
        <v>60</v>
      </c>
      <c r="EH30" s="83"/>
      <c r="EI30" s="83"/>
      <c r="EJ30" s="83">
        <v>100</v>
      </c>
      <c r="EK30" s="83"/>
      <c r="EL30" s="83"/>
      <c r="EM30" s="83">
        <v>83</v>
      </c>
      <c r="EN30" s="83"/>
      <c r="EO30" s="83">
        <v>27</v>
      </c>
      <c r="EP30" s="83"/>
      <c r="EQ30" s="83"/>
      <c r="ER30" s="83"/>
      <c r="ES30" s="83"/>
      <c r="ET30" s="83">
        <v>105</v>
      </c>
      <c r="EU30" s="83"/>
      <c r="EV30" s="83">
        <v>102</v>
      </c>
      <c r="EW30" s="83"/>
      <c r="EX30" s="83">
        <v>168</v>
      </c>
      <c r="EY30" s="83"/>
      <c r="EZ30" s="83"/>
      <c r="FA30" s="83">
        <v>180</v>
      </c>
      <c r="FB30" s="83"/>
      <c r="FC30" s="83">
        <v>80</v>
      </c>
      <c r="FD30" s="83">
        <v>144</v>
      </c>
      <c r="FE30" s="83"/>
      <c r="FF30" s="83"/>
      <c r="FG30" s="83"/>
      <c r="FH30" s="83">
        <v>265</v>
      </c>
      <c r="FI30" s="83">
        <v>82</v>
      </c>
      <c r="FJ30" s="83">
        <v>223</v>
      </c>
      <c r="FK30" s="83">
        <v>181</v>
      </c>
      <c r="FL30" s="83"/>
      <c r="FM30" s="83"/>
      <c r="FN30" s="83"/>
      <c r="FO30" s="83"/>
      <c r="FP30" s="83"/>
      <c r="FQ30" s="83"/>
      <c r="FR30" s="83"/>
      <c r="FS30" s="83"/>
      <c r="FT30" s="83"/>
      <c r="FU30" s="83"/>
      <c r="FV30" s="83"/>
      <c r="FW30" s="83"/>
      <c r="FX30" s="83"/>
      <c r="FY30" s="83"/>
      <c r="FZ30" s="83"/>
      <c r="GA30" s="83"/>
      <c r="GB30" s="83"/>
      <c r="GC30" s="83"/>
      <c r="GD30" s="83"/>
      <c r="GE30" s="83"/>
      <c r="GF30" s="83"/>
      <c r="GG30" s="83"/>
      <c r="GH30" s="83"/>
      <c r="GI30" s="83"/>
      <c r="GJ30" s="83"/>
      <c r="GK30" s="83"/>
      <c r="GL30" s="83"/>
      <c r="GM30" s="83"/>
      <c r="GN30" s="83"/>
      <c r="GO30" s="83"/>
      <c r="GP30" s="83"/>
      <c r="GQ30" s="83"/>
      <c r="GR30" s="83"/>
      <c r="GS30" s="83"/>
      <c r="GT30" s="83"/>
      <c r="GU30" s="83"/>
      <c r="GV30" s="83"/>
      <c r="GW30" s="83"/>
      <c r="GX30" s="83"/>
      <c r="GY30" s="83"/>
      <c r="GZ30" s="83"/>
      <c r="HA30" s="83"/>
      <c r="HB30" s="83"/>
      <c r="HC30" s="83"/>
      <c r="HD30" s="83"/>
      <c r="HE30" s="83"/>
      <c r="HF30" s="83"/>
      <c r="HG30" s="83"/>
      <c r="HH30" s="83"/>
      <c r="HI30" s="83"/>
      <c r="HJ30" s="83"/>
      <c r="HK30" s="83"/>
      <c r="HL30" s="83"/>
      <c r="HM30" s="83"/>
      <c r="HN30" s="83"/>
      <c r="HO30" s="83"/>
      <c r="HP30" s="83"/>
      <c r="HQ30" s="83"/>
      <c r="HR30" s="83"/>
      <c r="HS30" s="83"/>
      <c r="HT30" s="83"/>
      <c r="HU30" s="83"/>
      <c r="HV30" s="83"/>
      <c r="HW30" s="83"/>
      <c r="HX30" s="83"/>
      <c r="HY30" s="83"/>
      <c r="HZ30" s="83"/>
      <c r="IA30" s="83"/>
      <c r="IB30" s="83"/>
      <c r="IC30" s="83"/>
      <c r="ID30" s="83"/>
      <c r="IE30" s="83"/>
      <c r="IF30" s="83"/>
      <c r="IG30" s="83"/>
      <c r="IH30" s="83"/>
      <c r="II30" s="83"/>
      <c r="IJ30" s="83"/>
      <c r="IK30" s="83"/>
      <c r="IL30" s="83"/>
      <c r="IM30" s="83"/>
      <c r="IN30" s="83"/>
      <c r="IO30" s="83"/>
      <c r="IP30" s="83"/>
      <c r="IQ30" s="83"/>
      <c r="IR30" s="83"/>
      <c r="IS30" s="83"/>
      <c r="IT30" s="83"/>
      <c r="IU30" s="83"/>
      <c r="IV30" s="83"/>
      <c r="IW30" s="83"/>
      <c r="IX30" s="83"/>
      <c r="IY30" s="83"/>
      <c r="IZ30" s="83"/>
      <c r="JA30" s="83"/>
      <c r="JB30" s="83"/>
      <c r="JC30" s="83"/>
      <c r="JD30" s="83"/>
      <c r="JE30" s="83"/>
      <c r="JF30" s="83"/>
      <c r="JG30" s="83"/>
      <c r="JH30" s="83"/>
      <c r="JI30" s="83"/>
      <c r="JJ30" s="83"/>
      <c r="JK30" s="83"/>
      <c r="JL30" s="83"/>
      <c r="JM30" s="83"/>
      <c r="JN30" s="83"/>
      <c r="JO30" s="83"/>
      <c r="JP30" s="83"/>
      <c r="JQ30" s="83"/>
      <c r="JR30" s="83"/>
      <c r="JS30" s="83"/>
      <c r="JT30" s="83"/>
      <c r="JU30" s="83"/>
      <c r="JV30" s="83"/>
      <c r="JW30" s="83"/>
      <c r="JX30" s="83"/>
      <c r="JY30" s="83"/>
      <c r="JZ30" s="83"/>
      <c r="KA30" s="83"/>
      <c r="KB30" s="83"/>
      <c r="KC30" s="83"/>
      <c r="KD30" s="83"/>
      <c r="KE30" s="83"/>
      <c r="KF30" s="83"/>
      <c r="KG30" s="83"/>
      <c r="KH30" s="83"/>
      <c r="KI30" s="83"/>
      <c r="KJ30" s="83"/>
      <c r="KK30" s="83"/>
      <c r="KL30" s="83"/>
      <c r="KM30" s="83"/>
      <c r="KN30" s="83"/>
      <c r="KO30" s="83"/>
      <c r="KP30" s="83"/>
      <c r="KQ30" s="83"/>
      <c r="KR30" s="83"/>
      <c r="KS30" s="83"/>
      <c r="KT30" s="83"/>
      <c r="KU30" s="83"/>
      <c r="KV30" s="83"/>
      <c r="KW30" s="83"/>
      <c r="KX30" s="83"/>
      <c r="KY30" s="83"/>
      <c r="KZ30" s="83"/>
      <c r="LA30" s="83"/>
      <c r="LB30" s="83"/>
      <c r="LC30" s="83"/>
      <c r="LD30" s="83"/>
      <c r="LE30" s="83"/>
      <c r="LF30" s="83"/>
      <c r="LG30" s="83"/>
      <c r="LH30" s="83"/>
      <c r="LI30" s="83"/>
      <c r="LJ30" s="83"/>
      <c r="LK30" s="83"/>
      <c r="LL30" s="83"/>
      <c r="LM30" s="83"/>
      <c r="LN30" s="83"/>
      <c r="LO30" s="83"/>
      <c r="LP30" s="83"/>
      <c r="LQ30" s="83"/>
      <c r="LR30" s="83"/>
      <c r="LS30" s="83"/>
      <c r="LT30" s="83"/>
      <c r="LU30" s="83"/>
      <c r="LV30" s="83"/>
      <c r="LW30" s="83"/>
      <c r="LX30" s="83"/>
      <c r="LY30" s="83"/>
      <c r="LZ30" s="83"/>
      <c r="MA30" s="83"/>
      <c r="MB30" s="83"/>
      <c r="MC30" s="83"/>
      <c r="MD30" s="83"/>
      <c r="ME30" s="83"/>
      <c r="MF30" s="83"/>
      <c r="MG30" s="83"/>
      <c r="MH30" s="83"/>
      <c r="MI30" s="83"/>
      <c r="MJ30" s="83"/>
      <c r="MK30" s="83"/>
      <c r="ML30" s="83"/>
      <c r="MM30" s="83"/>
      <c r="MN30" s="83"/>
      <c r="MO30" s="83"/>
      <c r="MP30" s="83"/>
      <c r="MQ30" s="83"/>
      <c r="MR30" s="83"/>
      <c r="MS30" s="83"/>
      <c r="MT30" s="83"/>
      <c r="MU30" s="83"/>
      <c r="MV30" s="83"/>
      <c r="MW30" s="83"/>
      <c r="MX30" s="83"/>
      <c r="MY30" s="83"/>
      <c r="MZ30" s="83"/>
      <c r="NA30" s="83"/>
      <c r="NB30" s="83"/>
      <c r="NC30" s="83"/>
      <c r="ND30" s="83"/>
      <c r="NE30" s="83"/>
    </row>
    <row r="31" spans="1:369" x14ac:dyDescent="0.2">
      <c r="A31" s="20" t="s">
        <v>6</v>
      </c>
      <c r="B31" s="208"/>
      <c r="C31" s="77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  <c r="CV31" s="78"/>
      <c r="CW31" s="78"/>
      <c r="CX31" s="78"/>
      <c r="CY31" s="78"/>
      <c r="CZ31" s="78"/>
      <c r="DA31" s="78"/>
      <c r="DB31" s="78"/>
      <c r="DC31" s="78"/>
      <c r="DD31" s="78"/>
      <c r="DE31" s="78"/>
      <c r="DF31" s="78"/>
      <c r="DG31" s="78"/>
      <c r="DH31" s="78"/>
      <c r="DI31" s="78"/>
      <c r="DJ31" s="78"/>
      <c r="DK31" s="78"/>
      <c r="DL31" s="78"/>
      <c r="DM31" s="78"/>
      <c r="DN31" s="78"/>
      <c r="DO31" s="78"/>
      <c r="DP31" s="78"/>
      <c r="DQ31" s="78"/>
      <c r="DR31" s="78"/>
      <c r="DS31" s="78"/>
      <c r="DT31" s="78"/>
      <c r="DU31" s="78"/>
      <c r="DV31" s="78"/>
      <c r="DW31" s="78"/>
      <c r="DX31" s="78"/>
      <c r="DY31" s="78"/>
      <c r="DZ31" s="78"/>
      <c r="EA31" s="78"/>
      <c r="EB31" s="78"/>
      <c r="EC31" s="78"/>
      <c r="ED31" s="78"/>
      <c r="EE31" s="78"/>
      <c r="EF31" s="78"/>
      <c r="EG31" s="78"/>
      <c r="EH31" s="78"/>
      <c r="EI31" s="78"/>
      <c r="EJ31" s="78"/>
      <c r="EK31" s="78"/>
      <c r="EL31" s="78"/>
      <c r="EM31" s="78"/>
      <c r="EN31" s="78"/>
      <c r="EO31" s="78"/>
      <c r="EP31" s="78"/>
      <c r="EQ31" s="78"/>
      <c r="ER31" s="78"/>
      <c r="ES31" s="78"/>
      <c r="ET31" s="78"/>
      <c r="EU31" s="78"/>
      <c r="EV31" s="78"/>
      <c r="EW31" s="78"/>
      <c r="EX31" s="78"/>
      <c r="EY31" s="78"/>
      <c r="EZ31" s="78"/>
      <c r="FA31" s="78"/>
      <c r="FB31" s="78"/>
      <c r="FC31" s="78"/>
      <c r="FD31" s="78"/>
      <c r="FE31" s="78"/>
      <c r="FF31" s="78"/>
      <c r="FG31" s="78"/>
      <c r="FH31" s="78"/>
      <c r="FI31" s="78"/>
      <c r="FJ31" s="78"/>
      <c r="FK31" s="78"/>
      <c r="FL31" s="78"/>
      <c r="FM31" s="78"/>
      <c r="FN31" s="78"/>
      <c r="FO31" s="78"/>
      <c r="FP31" s="78"/>
      <c r="FQ31" s="78"/>
      <c r="FR31" s="78"/>
      <c r="FS31" s="78"/>
      <c r="FT31" s="78"/>
      <c r="FU31" s="78"/>
      <c r="FV31" s="78"/>
      <c r="FW31" s="78"/>
      <c r="FX31" s="78"/>
      <c r="FY31" s="78"/>
      <c r="FZ31" s="78"/>
      <c r="GA31" s="78"/>
      <c r="GB31" s="78"/>
      <c r="GC31" s="78"/>
      <c r="GD31" s="78"/>
      <c r="GE31" s="78"/>
      <c r="GF31" s="78"/>
      <c r="GG31" s="78"/>
      <c r="GH31" s="78"/>
      <c r="GI31" s="78"/>
      <c r="GJ31" s="78"/>
      <c r="GK31" s="78"/>
      <c r="GL31" s="78"/>
      <c r="GM31" s="78"/>
      <c r="GN31" s="78"/>
      <c r="GO31" s="78"/>
      <c r="GP31" s="78"/>
      <c r="GQ31" s="78"/>
      <c r="GR31" s="78"/>
      <c r="GS31" s="78"/>
      <c r="GT31" s="78"/>
      <c r="GU31" s="78"/>
      <c r="GV31" s="78"/>
      <c r="GW31" s="78"/>
      <c r="GX31" s="78"/>
      <c r="GY31" s="78"/>
      <c r="GZ31" s="78"/>
      <c r="HA31" s="78"/>
      <c r="HB31" s="78"/>
      <c r="HC31" s="78"/>
      <c r="HD31" s="78"/>
      <c r="HE31" s="78"/>
      <c r="HF31" s="78"/>
      <c r="HG31" s="78"/>
      <c r="HH31" s="78"/>
      <c r="HI31" s="78"/>
      <c r="HJ31" s="78"/>
      <c r="HK31" s="78"/>
      <c r="HL31" s="78"/>
      <c r="HM31" s="78"/>
      <c r="HN31" s="78"/>
      <c r="HO31" s="78"/>
      <c r="HP31" s="78"/>
      <c r="HQ31" s="78"/>
      <c r="HR31" s="78"/>
      <c r="HS31" s="78"/>
      <c r="HT31" s="78"/>
      <c r="HU31" s="78"/>
      <c r="HV31" s="78"/>
      <c r="HW31" s="78"/>
      <c r="HX31" s="78"/>
      <c r="HY31" s="78"/>
      <c r="HZ31" s="78"/>
      <c r="IA31" s="78"/>
      <c r="IB31" s="78"/>
      <c r="IC31" s="78"/>
      <c r="ID31" s="78"/>
      <c r="IE31" s="78"/>
      <c r="IF31" s="78"/>
      <c r="IG31" s="78"/>
      <c r="IH31" s="78"/>
      <c r="II31" s="78"/>
      <c r="IJ31" s="78"/>
      <c r="IK31" s="78"/>
      <c r="IL31" s="78"/>
      <c r="IM31" s="78"/>
      <c r="IN31" s="78"/>
      <c r="IO31" s="78"/>
      <c r="IP31" s="78"/>
      <c r="IQ31" s="78"/>
      <c r="IR31" s="78"/>
      <c r="IS31" s="78"/>
      <c r="IT31" s="78"/>
      <c r="IU31" s="78"/>
      <c r="IV31" s="78"/>
      <c r="IW31" s="78"/>
      <c r="IX31" s="78"/>
      <c r="IY31" s="78"/>
      <c r="IZ31" s="78"/>
      <c r="JA31" s="78"/>
      <c r="JB31" s="78"/>
      <c r="JC31" s="78"/>
      <c r="JD31" s="78"/>
      <c r="JE31" s="78"/>
      <c r="JF31" s="78"/>
      <c r="JG31" s="78"/>
      <c r="JH31" s="78"/>
      <c r="JI31" s="78"/>
      <c r="JJ31" s="78"/>
      <c r="JK31" s="78"/>
      <c r="JL31" s="78"/>
      <c r="JM31" s="78"/>
      <c r="JN31" s="78"/>
      <c r="JO31" s="78"/>
      <c r="JP31" s="78"/>
      <c r="JQ31" s="78"/>
      <c r="JR31" s="78"/>
      <c r="JS31" s="78"/>
      <c r="JT31" s="78"/>
      <c r="JU31" s="78"/>
      <c r="JV31" s="78"/>
      <c r="JW31" s="78"/>
      <c r="JX31" s="78"/>
      <c r="JY31" s="78"/>
      <c r="JZ31" s="78"/>
      <c r="KA31" s="78"/>
      <c r="KB31" s="78"/>
      <c r="KC31" s="78"/>
      <c r="KD31" s="78"/>
      <c r="KE31" s="78"/>
      <c r="KF31" s="78"/>
      <c r="KG31" s="78"/>
      <c r="KH31" s="78"/>
      <c r="KI31" s="78"/>
      <c r="KJ31" s="78"/>
      <c r="KK31" s="78"/>
      <c r="KL31" s="78"/>
      <c r="KM31" s="78"/>
      <c r="KN31" s="78"/>
      <c r="KO31" s="78"/>
      <c r="KP31" s="78"/>
      <c r="KQ31" s="78"/>
      <c r="KR31" s="78"/>
      <c r="KS31" s="78"/>
      <c r="KT31" s="78"/>
      <c r="KU31" s="78"/>
      <c r="KV31" s="78"/>
      <c r="KW31" s="78"/>
      <c r="KX31" s="78"/>
      <c r="KY31" s="78"/>
      <c r="KZ31" s="78"/>
      <c r="LA31" s="78"/>
      <c r="LB31" s="78"/>
      <c r="LC31" s="78"/>
      <c r="LD31" s="78"/>
      <c r="LE31" s="78"/>
      <c r="LF31" s="78"/>
      <c r="LG31" s="78"/>
      <c r="LH31" s="78"/>
      <c r="LI31" s="78"/>
      <c r="LJ31" s="78"/>
      <c r="LK31" s="78"/>
      <c r="LL31" s="78"/>
      <c r="LM31" s="78"/>
      <c r="LN31" s="78"/>
      <c r="LO31" s="78"/>
      <c r="LP31" s="78"/>
      <c r="LQ31" s="78"/>
      <c r="LR31" s="78"/>
      <c r="LS31" s="78"/>
      <c r="LT31" s="78"/>
      <c r="LU31" s="78"/>
      <c r="LV31" s="78"/>
      <c r="LW31" s="78"/>
      <c r="LX31" s="78"/>
      <c r="LY31" s="78"/>
      <c r="LZ31" s="78"/>
      <c r="MA31" s="78"/>
      <c r="MB31" s="78"/>
      <c r="MC31" s="78"/>
      <c r="MD31" s="78"/>
      <c r="ME31" s="78"/>
      <c r="MF31" s="78"/>
      <c r="MG31" s="78"/>
      <c r="MH31" s="78"/>
      <c r="MI31" s="78"/>
      <c r="MJ31" s="78"/>
      <c r="MK31" s="78"/>
      <c r="ML31" s="78"/>
      <c r="MM31" s="78"/>
      <c r="MN31" s="78"/>
      <c r="MO31" s="78"/>
      <c r="MP31" s="78"/>
      <c r="MQ31" s="78"/>
      <c r="MR31" s="78"/>
      <c r="MS31" s="78"/>
      <c r="MT31" s="78"/>
      <c r="MU31" s="78"/>
      <c r="MV31" s="78"/>
      <c r="MW31" s="78"/>
      <c r="MX31" s="78"/>
      <c r="MY31" s="78"/>
      <c r="MZ31" s="78"/>
      <c r="NA31" s="78"/>
      <c r="NB31" s="78"/>
      <c r="NC31" s="78"/>
      <c r="ND31" s="78"/>
      <c r="NE31" s="78"/>
    </row>
    <row r="32" spans="1:369" ht="16" thickBot="1" x14ac:dyDescent="0.25">
      <c r="A32" s="21" t="s">
        <v>7</v>
      </c>
      <c r="B32" s="209"/>
      <c r="C32" s="79"/>
      <c r="D32" s="80"/>
      <c r="E32" s="80"/>
      <c r="F32" s="80"/>
      <c r="G32" s="80"/>
      <c r="H32" s="80"/>
      <c r="I32" s="80"/>
      <c r="J32" s="80"/>
      <c r="K32" s="80"/>
      <c r="L32" s="189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0"/>
      <c r="CF32" s="80"/>
      <c r="CG32" s="80"/>
      <c r="CH32" s="80"/>
      <c r="CI32" s="80"/>
      <c r="CJ32" s="80"/>
      <c r="CK32" s="80"/>
      <c r="CL32" s="80"/>
      <c r="CM32" s="80"/>
      <c r="CN32" s="80"/>
      <c r="CO32" s="80"/>
      <c r="CP32" s="80"/>
      <c r="CQ32" s="80"/>
      <c r="CR32" s="80"/>
      <c r="CS32" s="80"/>
      <c r="CT32" s="80"/>
      <c r="CU32" s="80"/>
      <c r="CV32" s="80"/>
      <c r="CW32" s="80"/>
      <c r="CX32" s="80"/>
      <c r="CY32" s="80"/>
      <c r="CZ32" s="80"/>
      <c r="DA32" s="80"/>
      <c r="DB32" s="80"/>
      <c r="DC32" s="80"/>
      <c r="DD32" s="80"/>
      <c r="DE32" s="80"/>
      <c r="DF32" s="80"/>
      <c r="DG32" s="80"/>
      <c r="DH32" s="80"/>
      <c r="DI32" s="80"/>
      <c r="DJ32" s="80"/>
      <c r="DK32" s="80"/>
      <c r="DL32" s="80"/>
      <c r="DM32" s="80"/>
      <c r="DN32" s="80"/>
      <c r="DO32" s="80"/>
      <c r="DP32" s="80"/>
      <c r="DQ32" s="80"/>
      <c r="DR32" s="80"/>
      <c r="DS32" s="80"/>
      <c r="DT32" s="80"/>
      <c r="DU32" s="80"/>
      <c r="DV32" s="80"/>
      <c r="DW32" s="80"/>
      <c r="DX32" s="80"/>
      <c r="DY32" s="80"/>
      <c r="DZ32" s="80"/>
      <c r="EA32" s="80"/>
      <c r="EB32" s="80"/>
      <c r="EC32" s="80"/>
      <c r="ED32" s="80"/>
      <c r="EE32" s="80"/>
      <c r="EF32" s="80"/>
      <c r="EG32" s="80"/>
      <c r="EH32" s="80"/>
      <c r="EI32" s="80"/>
      <c r="EJ32" s="80"/>
      <c r="EK32" s="80"/>
      <c r="EL32" s="80"/>
      <c r="EM32" s="80"/>
      <c r="EN32" s="80"/>
      <c r="EO32" s="80"/>
      <c r="EP32" s="80"/>
      <c r="EQ32" s="80"/>
      <c r="ER32" s="80"/>
      <c r="ES32" s="80"/>
      <c r="ET32" s="80"/>
      <c r="EU32" s="80"/>
      <c r="EV32" s="80"/>
      <c r="EW32" s="80"/>
      <c r="EX32" s="80"/>
      <c r="EY32" s="80"/>
      <c r="EZ32" s="80"/>
      <c r="FA32" s="80"/>
      <c r="FB32" s="80"/>
      <c r="FC32" s="80"/>
      <c r="FD32" s="80"/>
      <c r="FE32" s="80"/>
      <c r="FF32" s="80"/>
      <c r="FG32" s="80"/>
      <c r="FH32" s="80"/>
      <c r="FI32" s="80"/>
      <c r="FJ32" s="80"/>
      <c r="FK32" s="80"/>
      <c r="FL32" s="80"/>
      <c r="FM32" s="80"/>
      <c r="FN32" s="80"/>
      <c r="FO32" s="80"/>
      <c r="FP32" s="80"/>
      <c r="FQ32" s="80"/>
      <c r="FR32" s="80"/>
      <c r="FS32" s="80"/>
      <c r="FT32" s="80"/>
      <c r="FU32" s="80"/>
      <c r="FV32" s="80"/>
      <c r="FW32" s="80"/>
      <c r="FX32" s="80"/>
      <c r="FY32" s="80"/>
      <c r="FZ32" s="80"/>
      <c r="GA32" s="80"/>
      <c r="GB32" s="80"/>
      <c r="GC32" s="80"/>
      <c r="GD32" s="80"/>
      <c r="GE32" s="80"/>
      <c r="GF32" s="80"/>
      <c r="GG32" s="80"/>
      <c r="GH32" s="80"/>
      <c r="GI32" s="80"/>
      <c r="GJ32" s="80"/>
      <c r="GK32" s="80"/>
      <c r="GL32" s="80"/>
      <c r="GM32" s="80"/>
      <c r="GN32" s="80"/>
      <c r="GO32" s="80"/>
      <c r="GP32" s="80"/>
      <c r="GQ32" s="80"/>
      <c r="GR32" s="80"/>
      <c r="GS32" s="80"/>
      <c r="GT32" s="80"/>
      <c r="GU32" s="80"/>
      <c r="GV32" s="80"/>
      <c r="GW32" s="80"/>
      <c r="GX32" s="80"/>
      <c r="GY32" s="80"/>
      <c r="GZ32" s="80"/>
      <c r="HA32" s="80"/>
      <c r="HB32" s="80"/>
      <c r="HC32" s="80"/>
      <c r="HD32" s="80"/>
      <c r="HE32" s="80"/>
      <c r="HF32" s="80"/>
      <c r="HG32" s="80"/>
      <c r="HH32" s="80"/>
      <c r="HI32" s="80"/>
      <c r="HJ32" s="80"/>
      <c r="HK32" s="80"/>
      <c r="HL32" s="80"/>
      <c r="HM32" s="80"/>
      <c r="HN32" s="80"/>
      <c r="HO32" s="80"/>
      <c r="HP32" s="80"/>
      <c r="HQ32" s="80"/>
      <c r="HR32" s="80"/>
      <c r="HS32" s="80"/>
      <c r="HT32" s="80"/>
      <c r="HU32" s="80"/>
      <c r="HV32" s="80"/>
      <c r="HW32" s="80"/>
      <c r="HX32" s="80"/>
      <c r="HY32" s="80"/>
      <c r="HZ32" s="80"/>
      <c r="IA32" s="80"/>
      <c r="IB32" s="80"/>
      <c r="IC32" s="80"/>
      <c r="ID32" s="80"/>
      <c r="IE32" s="80"/>
      <c r="IF32" s="80"/>
      <c r="IG32" s="80"/>
      <c r="IH32" s="80"/>
      <c r="II32" s="80"/>
      <c r="IJ32" s="80"/>
      <c r="IK32" s="80"/>
      <c r="IL32" s="80"/>
      <c r="IM32" s="80"/>
      <c r="IN32" s="80"/>
      <c r="IO32" s="80"/>
      <c r="IP32" s="80"/>
      <c r="IQ32" s="80"/>
      <c r="IR32" s="80"/>
      <c r="IS32" s="80"/>
      <c r="IT32" s="80"/>
      <c r="IU32" s="80"/>
      <c r="IV32" s="80"/>
      <c r="IW32" s="80"/>
      <c r="IX32" s="80"/>
      <c r="IY32" s="80"/>
      <c r="IZ32" s="80"/>
      <c r="JA32" s="80"/>
      <c r="JB32" s="80"/>
      <c r="JC32" s="80"/>
      <c r="JD32" s="80"/>
      <c r="JE32" s="80"/>
      <c r="JF32" s="80"/>
      <c r="JG32" s="80"/>
      <c r="JH32" s="80"/>
      <c r="JI32" s="80"/>
      <c r="JJ32" s="80"/>
      <c r="JK32" s="80"/>
      <c r="JL32" s="80"/>
      <c r="JM32" s="80"/>
      <c r="JN32" s="80"/>
      <c r="JO32" s="80"/>
      <c r="JP32" s="80"/>
      <c r="JQ32" s="80"/>
      <c r="JR32" s="80"/>
      <c r="JS32" s="80"/>
      <c r="JT32" s="80"/>
      <c r="JU32" s="80"/>
      <c r="JV32" s="80"/>
      <c r="JW32" s="80"/>
      <c r="JX32" s="80"/>
      <c r="JY32" s="80"/>
      <c r="JZ32" s="80"/>
      <c r="KA32" s="80"/>
      <c r="KB32" s="80"/>
      <c r="KC32" s="80"/>
      <c r="KD32" s="80"/>
      <c r="KE32" s="80"/>
      <c r="KF32" s="80"/>
      <c r="KG32" s="80"/>
      <c r="KH32" s="80"/>
      <c r="KI32" s="80"/>
      <c r="KJ32" s="80"/>
      <c r="KK32" s="80"/>
      <c r="KL32" s="80"/>
      <c r="KM32" s="80"/>
      <c r="KN32" s="80"/>
      <c r="KO32" s="80"/>
      <c r="KP32" s="80"/>
      <c r="KQ32" s="80"/>
      <c r="KR32" s="80"/>
      <c r="KS32" s="80"/>
      <c r="KT32" s="80"/>
      <c r="KU32" s="80"/>
      <c r="KV32" s="80"/>
      <c r="KW32" s="80"/>
      <c r="KX32" s="80"/>
      <c r="KY32" s="80"/>
      <c r="KZ32" s="80"/>
      <c r="LA32" s="80"/>
      <c r="LB32" s="80"/>
      <c r="LC32" s="80"/>
      <c r="LD32" s="80"/>
      <c r="LE32" s="80"/>
      <c r="LF32" s="80"/>
      <c r="LG32" s="80"/>
      <c r="LH32" s="80"/>
      <c r="LI32" s="80"/>
      <c r="LJ32" s="80"/>
      <c r="LK32" s="80"/>
      <c r="LL32" s="80"/>
      <c r="LM32" s="80"/>
      <c r="LN32" s="80"/>
      <c r="LO32" s="80"/>
      <c r="LP32" s="80"/>
      <c r="LQ32" s="80"/>
      <c r="LR32" s="80"/>
      <c r="LS32" s="80"/>
      <c r="LT32" s="80"/>
      <c r="LU32" s="80"/>
      <c r="LV32" s="80"/>
      <c r="LW32" s="80"/>
      <c r="LX32" s="80"/>
      <c r="LY32" s="80"/>
      <c r="LZ32" s="80"/>
      <c r="MA32" s="80"/>
      <c r="MB32" s="80"/>
      <c r="MC32" s="80"/>
      <c r="MD32" s="80"/>
      <c r="ME32" s="80"/>
      <c r="MF32" s="80"/>
      <c r="MG32" s="80"/>
      <c r="MH32" s="80"/>
      <c r="MI32" s="80"/>
      <c r="MJ32" s="80"/>
      <c r="MK32" s="80"/>
      <c r="ML32" s="80"/>
      <c r="MM32" s="80"/>
      <c r="MN32" s="80"/>
      <c r="MO32" s="80"/>
      <c r="MP32" s="80"/>
      <c r="MQ32" s="80"/>
      <c r="MR32" s="80"/>
      <c r="MS32" s="80"/>
      <c r="MT32" s="80"/>
      <c r="MU32" s="80"/>
      <c r="MV32" s="80"/>
      <c r="MW32" s="80"/>
      <c r="MX32" s="80"/>
      <c r="MY32" s="80"/>
      <c r="MZ32" s="80"/>
      <c r="NA32" s="80"/>
      <c r="NB32" s="80"/>
      <c r="NC32" s="80"/>
      <c r="ND32" s="80"/>
      <c r="NE32" s="80"/>
    </row>
    <row r="33" spans="1:369" ht="16" thickBot="1" x14ac:dyDescent="0.25">
      <c r="A33" s="24" t="s">
        <v>17</v>
      </c>
      <c r="B33" s="214"/>
      <c r="C33" s="88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125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3"/>
      <c r="CF33" s="83"/>
      <c r="CG33" s="83"/>
      <c r="CH33" s="83"/>
      <c r="CI33" s="83"/>
      <c r="CJ33" s="83"/>
      <c r="CK33" s="83"/>
      <c r="CL33" s="83"/>
      <c r="CM33" s="83"/>
      <c r="CN33" s="83"/>
      <c r="CO33" s="83"/>
      <c r="CP33" s="83"/>
      <c r="CQ33" s="83"/>
      <c r="CR33" s="83"/>
      <c r="CS33" s="83"/>
      <c r="CT33" s="83"/>
      <c r="CU33" s="83"/>
      <c r="CV33" s="83"/>
      <c r="CW33" s="83"/>
      <c r="CX33" s="83"/>
      <c r="CY33" s="83"/>
      <c r="CZ33" s="83"/>
      <c r="DA33" s="83"/>
      <c r="DB33" s="83"/>
      <c r="DC33" s="83"/>
      <c r="DD33" s="83"/>
      <c r="DE33" s="83"/>
      <c r="DF33" s="83"/>
      <c r="DG33" s="83"/>
      <c r="DH33" s="83"/>
      <c r="DI33" s="83"/>
      <c r="DJ33" s="83"/>
      <c r="DK33" s="83"/>
      <c r="DL33" s="83"/>
      <c r="DM33" s="83"/>
      <c r="DN33" s="83"/>
      <c r="DO33" s="83"/>
      <c r="DP33" s="83"/>
      <c r="DQ33" s="83"/>
      <c r="DR33" s="83"/>
      <c r="DS33" s="83"/>
      <c r="DT33" s="83"/>
      <c r="DU33" s="83"/>
      <c r="DV33" s="83"/>
      <c r="DW33" s="83"/>
      <c r="DX33" s="83"/>
      <c r="DY33" s="83"/>
      <c r="DZ33" s="83"/>
      <c r="EA33" s="83"/>
      <c r="EB33" s="83"/>
      <c r="EC33" s="83"/>
      <c r="ED33" s="83"/>
      <c r="EE33" s="83"/>
      <c r="EF33" s="83"/>
      <c r="EG33" s="83"/>
      <c r="EH33" s="83"/>
      <c r="EI33" s="83"/>
      <c r="EJ33" s="83"/>
      <c r="EK33" s="83"/>
      <c r="EL33" s="83"/>
      <c r="EM33" s="83"/>
      <c r="EN33" s="83"/>
      <c r="EO33" s="83"/>
      <c r="EP33" s="83"/>
      <c r="EQ33" s="83"/>
      <c r="ER33" s="83"/>
      <c r="ES33" s="83"/>
      <c r="ET33" s="83"/>
      <c r="EU33" s="83"/>
      <c r="EV33" s="83"/>
      <c r="EW33" s="83"/>
      <c r="EX33" s="83"/>
      <c r="EY33" s="83"/>
      <c r="EZ33" s="83"/>
      <c r="FA33" s="83"/>
      <c r="FB33" s="83"/>
      <c r="FC33" s="83"/>
      <c r="FD33" s="83"/>
      <c r="FE33" s="83"/>
      <c r="FF33" s="83"/>
      <c r="FG33" s="83"/>
      <c r="FH33" s="83"/>
      <c r="FI33" s="83"/>
      <c r="FJ33" s="83"/>
      <c r="FK33" s="83"/>
      <c r="FL33" s="83"/>
      <c r="FM33" s="83"/>
      <c r="FN33" s="83"/>
      <c r="FO33" s="83"/>
      <c r="FP33" s="83"/>
      <c r="FQ33" s="83"/>
      <c r="FR33" s="83"/>
      <c r="FS33" s="83"/>
      <c r="FT33" s="83"/>
      <c r="FU33" s="83"/>
      <c r="FV33" s="83"/>
      <c r="FW33" s="83"/>
      <c r="FX33" s="83"/>
      <c r="FY33" s="83"/>
      <c r="FZ33" s="83"/>
      <c r="GA33" s="83"/>
      <c r="GB33" s="83"/>
      <c r="GC33" s="83"/>
      <c r="GD33" s="83"/>
      <c r="GE33" s="83"/>
      <c r="GF33" s="83"/>
      <c r="GG33" s="83"/>
      <c r="GH33" s="83"/>
      <c r="GI33" s="83"/>
      <c r="GJ33" s="83"/>
      <c r="GK33" s="83"/>
      <c r="GL33" s="83"/>
      <c r="GM33" s="83"/>
      <c r="GN33" s="83"/>
      <c r="GO33" s="83"/>
      <c r="GP33" s="83"/>
      <c r="GQ33" s="83"/>
      <c r="GR33" s="83"/>
      <c r="GS33" s="83"/>
      <c r="GT33" s="83"/>
      <c r="GU33" s="83"/>
      <c r="GV33" s="83"/>
      <c r="GW33" s="83"/>
      <c r="GX33" s="83"/>
      <c r="GY33" s="83"/>
      <c r="GZ33" s="83"/>
      <c r="HA33" s="83"/>
      <c r="HB33" s="83"/>
      <c r="HC33" s="83"/>
      <c r="HD33" s="83"/>
      <c r="HE33" s="83"/>
      <c r="HF33" s="83"/>
      <c r="HG33" s="83"/>
      <c r="HH33" s="83"/>
      <c r="HI33" s="83"/>
      <c r="HJ33" s="83"/>
      <c r="HK33" s="83"/>
      <c r="HL33" s="83"/>
      <c r="HM33" s="83"/>
      <c r="HN33" s="83"/>
      <c r="HO33" s="83"/>
      <c r="HP33" s="83"/>
      <c r="HQ33" s="83"/>
      <c r="HR33" s="83"/>
      <c r="HS33" s="83"/>
      <c r="HT33" s="83"/>
      <c r="HU33" s="83"/>
      <c r="HV33" s="83"/>
      <c r="HW33" s="83"/>
      <c r="HX33" s="83"/>
      <c r="HY33" s="83"/>
      <c r="HZ33" s="83"/>
      <c r="IA33" s="83"/>
      <c r="IB33" s="83"/>
      <c r="IC33" s="83"/>
      <c r="ID33" s="83"/>
      <c r="IE33" s="83"/>
      <c r="IF33" s="83"/>
      <c r="IG33" s="83"/>
      <c r="IH33" s="83"/>
      <c r="II33" s="83"/>
      <c r="IJ33" s="83"/>
      <c r="IK33" s="83"/>
      <c r="IL33" s="83"/>
      <c r="IM33" s="83"/>
      <c r="IN33" s="83"/>
      <c r="IO33" s="83"/>
      <c r="IP33" s="83"/>
      <c r="IQ33" s="83"/>
      <c r="IR33" s="83"/>
      <c r="IS33" s="83"/>
      <c r="IT33" s="83"/>
      <c r="IU33" s="83"/>
      <c r="IV33" s="83"/>
      <c r="IW33" s="83"/>
      <c r="IX33" s="83"/>
      <c r="IY33" s="83"/>
      <c r="IZ33" s="83"/>
      <c r="JA33" s="83"/>
      <c r="JB33" s="83"/>
      <c r="JC33" s="83"/>
      <c r="JD33" s="83"/>
      <c r="JE33" s="83"/>
      <c r="JF33" s="78"/>
      <c r="JG33" s="83"/>
      <c r="JH33" s="83"/>
      <c r="JI33" s="83"/>
      <c r="JJ33" s="83"/>
      <c r="JK33" s="83"/>
      <c r="JL33" s="83"/>
      <c r="JM33" s="83"/>
      <c r="JN33" s="83"/>
      <c r="JO33" s="83"/>
      <c r="JP33" s="83"/>
      <c r="JQ33" s="83"/>
      <c r="JR33" s="83"/>
      <c r="JS33" s="83"/>
      <c r="JT33" s="83"/>
      <c r="JU33" s="83"/>
      <c r="JV33" s="83"/>
      <c r="JW33" s="83"/>
      <c r="JX33" s="83"/>
      <c r="JY33" s="83"/>
      <c r="JZ33" s="83"/>
      <c r="KA33" s="83"/>
      <c r="KB33" s="83"/>
      <c r="KC33" s="83"/>
      <c r="KD33" s="83"/>
      <c r="KE33" s="83"/>
      <c r="KF33" s="83"/>
      <c r="KG33" s="83"/>
      <c r="KH33" s="83"/>
      <c r="KI33" s="83"/>
      <c r="KJ33" s="83"/>
      <c r="KK33" s="83"/>
      <c r="KL33" s="83"/>
      <c r="KM33" s="83"/>
      <c r="KN33" s="83"/>
      <c r="KO33" s="83"/>
      <c r="KP33" s="83"/>
      <c r="KQ33" s="83"/>
      <c r="KR33" s="83"/>
      <c r="KS33" s="83"/>
      <c r="KT33" s="83"/>
      <c r="KU33" s="83"/>
      <c r="KV33" s="83"/>
      <c r="KW33" s="83"/>
      <c r="KX33" s="83"/>
      <c r="KY33" s="83"/>
      <c r="KZ33" s="83"/>
      <c r="LA33" s="83"/>
      <c r="LB33" s="83"/>
      <c r="LC33" s="83"/>
      <c r="LD33" s="83"/>
      <c r="LE33" s="83"/>
      <c r="LF33" s="83"/>
      <c r="LG33" s="83"/>
      <c r="LH33" s="83"/>
      <c r="LI33" s="83"/>
      <c r="LJ33" s="83"/>
      <c r="LK33" s="83"/>
      <c r="LL33" s="83"/>
      <c r="LM33" s="83"/>
      <c r="LN33" s="83"/>
      <c r="LO33" s="83"/>
      <c r="LP33" s="83"/>
      <c r="LQ33" s="83"/>
      <c r="LR33" s="83"/>
      <c r="LS33" s="83"/>
      <c r="LT33" s="83"/>
      <c r="LU33" s="83"/>
      <c r="LV33" s="83"/>
      <c r="LW33" s="83"/>
      <c r="LX33" s="83"/>
      <c r="LY33" s="83"/>
      <c r="LZ33" s="83"/>
      <c r="MA33" s="83"/>
      <c r="MB33" s="83"/>
      <c r="MC33" s="83"/>
      <c r="MD33" s="83"/>
      <c r="ME33" s="83"/>
      <c r="MF33" s="83"/>
      <c r="MG33" s="83"/>
      <c r="MH33" s="83"/>
      <c r="MI33" s="83"/>
      <c r="MJ33" s="83"/>
      <c r="MK33" s="83"/>
      <c r="ML33" s="83"/>
      <c r="MM33" s="83"/>
      <c r="MN33" s="83"/>
      <c r="MO33" s="83"/>
      <c r="MP33" s="83"/>
      <c r="MQ33" s="83"/>
      <c r="MR33" s="83"/>
      <c r="MS33" s="83"/>
      <c r="MT33" s="83"/>
      <c r="MU33" s="83"/>
      <c r="MV33" s="83"/>
      <c r="MW33" s="83"/>
      <c r="MX33" s="83"/>
      <c r="MY33" s="83"/>
      <c r="MZ33" s="83"/>
      <c r="NA33" s="83"/>
      <c r="NB33" s="83"/>
      <c r="NC33" s="83"/>
      <c r="ND33" s="83"/>
      <c r="NE33" s="83"/>
    </row>
    <row r="34" spans="1:369" s="229" customFormat="1" x14ac:dyDescent="0.2">
      <c r="A34" s="246" t="s">
        <v>18</v>
      </c>
      <c r="B34" s="247"/>
      <c r="C34" s="248"/>
      <c r="D34" s="249">
        <v>27</v>
      </c>
      <c r="E34" s="249"/>
      <c r="F34" s="249"/>
      <c r="G34" s="249"/>
      <c r="H34" s="249"/>
      <c r="I34" s="249"/>
      <c r="J34" s="249">
        <v>68</v>
      </c>
      <c r="K34" s="249">
        <v>60</v>
      </c>
      <c r="L34" s="249">
        <v>13</v>
      </c>
      <c r="M34" s="249"/>
      <c r="N34" s="249">
        <v>11</v>
      </c>
      <c r="O34" s="249"/>
      <c r="P34" s="249"/>
      <c r="Q34" s="249">
        <v>10</v>
      </c>
      <c r="R34" s="249">
        <v>33</v>
      </c>
      <c r="S34" s="249">
        <v>14</v>
      </c>
      <c r="T34" s="249">
        <v>27</v>
      </c>
      <c r="U34" s="249"/>
      <c r="V34" s="249"/>
      <c r="W34" s="249"/>
      <c r="X34" s="249">
        <v>53</v>
      </c>
      <c r="Y34" s="249">
        <v>34</v>
      </c>
      <c r="Z34" s="249">
        <v>16</v>
      </c>
      <c r="AA34" s="249">
        <v>37</v>
      </c>
      <c r="AB34" s="249">
        <v>10</v>
      </c>
      <c r="AC34" s="249"/>
      <c r="AD34" s="249"/>
      <c r="AE34" s="249">
        <v>23</v>
      </c>
      <c r="AF34" s="249">
        <v>35</v>
      </c>
      <c r="AG34" s="249">
        <v>15</v>
      </c>
      <c r="AH34" s="249">
        <v>18</v>
      </c>
      <c r="AI34" s="249">
        <v>8</v>
      </c>
      <c r="AJ34" s="249"/>
      <c r="AK34" s="249"/>
      <c r="AL34" s="249">
        <v>12</v>
      </c>
      <c r="AM34" s="249">
        <v>24</v>
      </c>
      <c r="AN34" s="249">
        <v>20</v>
      </c>
      <c r="AO34" s="249">
        <v>15</v>
      </c>
      <c r="AP34" s="249">
        <v>24</v>
      </c>
      <c r="AQ34" s="249"/>
      <c r="AR34" s="249"/>
      <c r="AS34" s="249">
        <v>16</v>
      </c>
      <c r="AT34" s="249">
        <v>16</v>
      </c>
      <c r="AU34" s="249">
        <v>97</v>
      </c>
      <c r="AV34" s="249">
        <v>10</v>
      </c>
      <c r="AW34" s="249">
        <v>12</v>
      </c>
      <c r="AX34" s="249"/>
      <c r="AY34" s="249"/>
      <c r="AZ34" s="249"/>
      <c r="BA34" s="249">
        <v>13</v>
      </c>
      <c r="BB34" s="249">
        <v>11</v>
      </c>
      <c r="BC34" s="249">
        <v>44</v>
      </c>
      <c r="BD34" s="249">
        <v>35</v>
      </c>
      <c r="BE34" s="249"/>
      <c r="BF34" s="249"/>
      <c r="BG34" s="249"/>
      <c r="BH34" s="249">
        <v>36</v>
      </c>
      <c r="BI34" s="249">
        <v>28</v>
      </c>
      <c r="BJ34" s="249">
        <v>27</v>
      </c>
      <c r="BK34" s="249">
        <v>20</v>
      </c>
      <c r="BL34" s="249"/>
      <c r="BM34" s="249"/>
      <c r="BN34" s="249">
        <v>46</v>
      </c>
      <c r="BO34" s="249">
        <v>46</v>
      </c>
      <c r="BP34" s="249"/>
      <c r="BQ34" s="249"/>
      <c r="BR34" s="249">
        <v>50</v>
      </c>
      <c r="BS34" s="249"/>
      <c r="BT34" s="249"/>
      <c r="BU34" s="249">
        <v>29</v>
      </c>
      <c r="BV34" s="249">
        <v>20</v>
      </c>
      <c r="BW34" s="249">
        <v>27</v>
      </c>
      <c r="BX34" s="249"/>
      <c r="BY34" s="249">
        <v>38</v>
      </c>
      <c r="BZ34" s="249"/>
      <c r="CA34" s="249"/>
      <c r="CB34" s="249">
        <v>22</v>
      </c>
      <c r="CC34" s="249">
        <v>19</v>
      </c>
      <c r="CD34" s="249">
        <v>7</v>
      </c>
      <c r="CE34" s="249">
        <v>50</v>
      </c>
      <c r="CF34" s="249"/>
      <c r="CG34" s="249"/>
      <c r="CH34" s="249"/>
      <c r="CI34" s="249">
        <v>15</v>
      </c>
      <c r="CJ34" s="249">
        <v>30</v>
      </c>
      <c r="CK34" s="249"/>
      <c r="CL34" s="249">
        <v>32</v>
      </c>
      <c r="CM34" s="249"/>
      <c r="CN34" s="249"/>
      <c r="CO34" s="249"/>
      <c r="CP34" s="249">
        <v>14</v>
      </c>
      <c r="CQ34" s="249"/>
      <c r="CR34" s="249">
        <v>60</v>
      </c>
      <c r="CS34" s="249">
        <v>23</v>
      </c>
      <c r="CT34" s="249"/>
      <c r="CU34" s="249"/>
      <c r="CV34" s="249"/>
      <c r="CW34" s="249">
        <v>17</v>
      </c>
      <c r="CX34" s="249">
        <v>44</v>
      </c>
      <c r="CY34" s="249"/>
      <c r="CZ34" s="249">
        <v>41</v>
      </c>
      <c r="DA34" s="249"/>
      <c r="DB34" s="249"/>
      <c r="DC34" s="249"/>
      <c r="DD34" s="249"/>
      <c r="DE34" s="249">
        <v>37</v>
      </c>
      <c r="DF34" s="249"/>
      <c r="DG34" s="249">
        <v>28</v>
      </c>
      <c r="DH34" s="249">
        <v>10</v>
      </c>
      <c r="DI34" s="249"/>
      <c r="DJ34" s="249"/>
      <c r="DK34" s="249"/>
      <c r="DL34" s="249"/>
      <c r="DM34" s="249">
        <v>44</v>
      </c>
      <c r="DN34" s="249"/>
      <c r="DO34" s="249"/>
      <c r="DP34" s="249"/>
      <c r="DQ34" s="249"/>
      <c r="DR34" s="249">
        <v>18</v>
      </c>
      <c r="DS34" s="249"/>
      <c r="DT34" s="249">
        <v>25</v>
      </c>
      <c r="DU34" s="249"/>
      <c r="DV34" s="249"/>
      <c r="DW34" s="249"/>
      <c r="DX34" s="249"/>
      <c r="DY34" s="249">
        <v>18</v>
      </c>
      <c r="DZ34" s="249"/>
      <c r="EA34" s="249">
        <v>22</v>
      </c>
      <c r="EB34" s="249"/>
      <c r="EC34" s="249">
        <v>24</v>
      </c>
      <c r="ED34" s="249"/>
      <c r="EE34" s="249"/>
      <c r="EF34" s="249"/>
      <c r="EG34" s="249"/>
      <c r="EH34" s="249"/>
      <c r="EI34" s="249"/>
      <c r="EJ34" s="249">
        <v>22</v>
      </c>
      <c r="EK34" s="249"/>
      <c r="EL34" s="249"/>
      <c r="EM34" s="249">
        <v>26</v>
      </c>
      <c r="EN34" s="249"/>
      <c r="EO34" s="249">
        <v>32</v>
      </c>
      <c r="EP34" s="249"/>
      <c r="EQ34" s="249"/>
      <c r="ER34" s="249"/>
      <c r="ES34" s="249"/>
      <c r="ET34" s="249">
        <v>35</v>
      </c>
      <c r="EU34" s="249"/>
      <c r="EV34" s="249">
        <v>30</v>
      </c>
      <c r="EW34" s="249"/>
      <c r="EX34" s="249">
        <v>37</v>
      </c>
      <c r="EY34" s="249"/>
      <c r="EZ34" s="249"/>
      <c r="FA34" s="249">
        <v>34</v>
      </c>
      <c r="FB34" s="249"/>
      <c r="FC34" s="249">
        <v>56</v>
      </c>
      <c r="FD34" s="249">
        <v>40</v>
      </c>
      <c r="FE34" s="249"/>
      <c r="FF34" s="249"/>
      <c r="FG34" s="249"/>
      <c r="FH34" s="249"/>
      <c r="FI34" s="249">
        <v>18</v>
      </c>
      <c r="FJ34" s="249">
        <v>67</v>
      </c>
      <c r="FK34" s="249">
        <v>26</v>
      </c>
      <c r="FL34" s="249"/>
      <c r="FM34" s="249"/>
      <c r="FN34" s="249"/>
      <c r="FO34" s="249"/>
      <c r="FP34" s="249"/>
      <c r="FQ34" s="249"/>
      <c r="FR34" s="249"/>
      <c r="FS34" s="249"/>
      <c r="FT34" s="249"/>
      <c r="FU34" s="249"/>
      <c r="FV34" s="249"/>
      <c r="FW34" s="249"/>
      <c r="FX34" s="249"/>
      <c r="FY34" s="249"/>
      <c r="FZ34" s="249"/>
      <c r="GA34" s="249"/>
      <c r="GB34" s="249"/>
      <c r="GC34" s="249"/>
      <c r="GD34" s="249"/>
      <c r="GE34" s="249"/>
      <c r="GF34" s="249"/>
      <c r="GG34" s="249"/>
      <c r="GH34" s="249"/>
      <c r="GI34" s="249"/>
      <c r="GJ34" s="249"/>
      <c r="GK34" s="249"/>
      <c r="GL34" s="249"/>
      <c r="GM34" s="249"/>
      <c r="GN34" s="249"/>
      <c r="GO34" s="249"/>
      <c r="GP34" s="249"/>
      <c r="GQ34" s="249"/>
      <c r="GR34" s="249"/>
      <c r="GS34" s="249"/>
      <c r="GT34" s="249"/>
      <c r="GU34" s="249"/>
      <c r="GV34" s="249"/>
      <c r="GW34" s="249"/>
      <c r="GX34" s="249"/>
      <c r="GY34" s="249"/>
      <c r="GZ34" s="249"/>
      <c r="HA34" s="249"/>
      <c r="HB34" s="249"/>
      <c r="HC34" s="249"/>
      <c r="HD34" s="249"/>
      <c r="HE34" s="249"/>
      <c r="HF34" s="249"/>
      <c r="HG34" s="249"/>
      <c r="HH34" s="249"/>
      <c r="HI34" s="249"/>
      <c r="HJ34" s="249"/>
      <c r="HK34" s="249"/>
      <c r="HL34" s="249"/>
      <c r="HM34" s="249"/>
      <c r="HN34" s="249"/>
      <c r="HO34" s="249"/>
      <c r="HP34" s="249"/>
      <c r="HQ34" s="249"/>
      <c r="HR34" s="249"/>
      <c r="HS34" s="249"/>
      <c r="HT34" s="249"/>
      <c r="HU34" s="249"/>
      <c r="HV34" s="249"/>
      <c r="HW34" s="249"/>
      <c r="HX34" s="249"/>
      <c r="HY34" s="249"/>
      <c r="HZ34" s="249"/>
      <c r="IA34" s="249"/>
      <c r="IB34" s="249"/>
      <c r="IC34" s="249"/>
      <c r="ID34" s="249"/>
      <c r="IE34" s="249"/>
      <c r="IF34" s="249"/>
      <c r="IG34" s="249"/>
      <c r="IH34" s="249"/>
      <c r="II34" s="249"/>
      <c r="IJ34" s="249"/>
      <c r="IK34" s="249"/>
      <c r="IL34" s="249"/>
      <c r="IM34" s="249"/>
      <c r="IN34" s="249"/>
      <c r="IO34" s="249"/>
      <c r="IP34" s="249"/>
      <c r="IQ34" s="249"/>
      <c r="IR34" s="249"/>
      <c r="IS34" s="249"/>
      <c r="IT34" s="249"/>
      <c r="IU34" s="249"/>
      <c r="IV34" s="249"/>
      <c r="IW34" s="249"/>
      <c r="IX34" s="249"/>
      <c r="IY34" s="249"/>
      <c r="IZ34" s="249"/>
      <c r="JA34" s="249"/>
      <c r="JB34" s="249"/>
      <c r="JC34" s="249"/>
      <c r="JD34" s="249"/>
      <c r="JE34" s="249"/>
      <c r="JF34" s="249"/>
      <c r="JG34" s="249"/>
      <c r="JH34" s="249"/>
      <c r="JI34" s="249"/>
      <c r="JJ34" s="249"/>
      <c r="JK34" s="249"/>
      <c r="JL34" s="249"/>
      <c r="JM34" s="249"/>
      <c r="JN34" s="249"/>
      <c r="JO34" s="249"/>
      <c r="JP34" s="249"/>
      <c r="JQ34" s="249"/>
      <c r="JR34" s="249"/>
      <c r="JS34" s="249"/>
      <c r="JT34" s="249"/>
      <c r="JU34" s="249"/>
      <c r="JV34" s="249"/>
      <c r="JW34" s="249"/>
      <c r="JX34" s="249"/>
      <c r="JY34" s="249"/>
      <c r="JZ34" s="249"/>
      <c r="KA34" s="249"/>
      <c r="KB34" s="249"/>
      <c r="KC34" s="249"/>
      <c r="KD34" s="249"/>
      <c r="KE34" s="249"/>
      <c r="KF34" s="249"/>
      <c r="KG34" s="249"/>
      <c r="KH34" s="249"/>
      <c r="KI34" s="249"/>
      <c r="KJ34" s="249"/>
      <c r="KK34" s="249"/>
      <c r="KL34" s="249"/>
      <c r="KM34" s="249"/>
      <c r="KN34" s="249"/>
      <c r="KO34" s="249"/>
      <c r="KP34" s="249"/>
      <c r="KQ34" s="249"/>
      <c r="KR34" s="249"/>
      <c r="KS34" s="249"/>
      <c r="KT34" s="249"/>
      <c r="KU34" s="249"/>
      <c r="KV34" s="249"/>
      <c r="KW34" s="249"/>
      <c r="KX34" s="249"/>
      <c r="KY34" s="249"/>
      <c r="KZ34" s="249"/>
      <c r="LA34" s="249"/>
      <c r="LB34" s="249"/>
      <c r="LC34" s="249"/>
      <c r="LD34" s="249"/>
      <c r="LE34" s="249"/>
      <c r="LF34" s="249"/>
      <c r="LG34" s="249"/>
      <c r="LH34" s="249"/>
      <c r="LI34" s="249"/>
      <c r="LJ34" s="249"/>
      <c r="LK34" s="249"/>
      <c r="LL34" s="249"/>
      <c r="LM34" s="249"/>
      <c r="LN34" s="249"/>
      <c r="LO34" s="249"/>
      <c r="LP34" s="249"/>
      <c r="LQ34" s="249"/>
      <c r="LR34" s="249"/>
      <c r="LS34" s="249"/>
      <c r="LT34" s="249"/>
      <c r="LU34" s="249"/>
      <c r="LV34" s="249"/>
      <c r="LW34" s="249"/>
      <c r="LX34" s="249"/>
      <c r="LY34" s="249"/>
      <c r="LZ34" s="249"/>
      <c r="MA34" s="249"/>
      <c r="MB34" s="249"/>
      <c r="MC34" s="249"/>
      <c r="MD34" s="249"/>
      <c r="ME34" s="249"/>
      <c r="MF34" s="249"/>
      <c r="MG34" s="249"/>
      <c r="MH34" s="249"/>
      <c r="MI34" s="249"/>
      <c r="MJ34" s="249"/>
      <c r="MK34" s="249"/>
      <c r="ML34" s="249"/>
      <c r="MM34" s="249"/>
      <c r="MN34" s="249"/>
      <c r="MO34" s="249"/>
      <c r="MP34" s="249"/>
      <c r="MQ34" s="249"/>
      <c r="MR34" s="249"/>
      <c r="MS34" s="249"/>
      <c r="MT34" s="249"/>
      <c r="MU34" s="249"/>
      <c r="MV34" s="249"/>
      <c r="MW34" s="249"/>
      <c r="MX34" s="249"/>
      <c r="MY34" s="249"/>
      <c r="MZ34" s="249"/>
      <c r="NA34" s="249"/>
      <c r="NB34" s="249"/>
      <c r="NC34" s="249"/>
      <c r="ND34" s="249"/>
      <c r="NE34" s="249"/>
    </row>
    <row r="35" spans="1:369" x14ac:dyDescent="0.2">
      <c r="A35" s="26" t="s">
        <v>19</v>
      </c>
      <c r="B35" s="215">
        <v>470</v>
      </c>
      <c r="C35" s="81">
        <v>147</v>
      </c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>
        <v>203</v>
      </c>
      <c r="S35" s="90"/>
      <c r="T35" s="90"/>
      <c r="U35" s="90"/>
      <c r="V35" s="90"/>
      <c r="W35" s="90"/>
      <c r="X35" s="90"/>
      <c r="Y35" s="90"/>
      <c r="Z35" s="90">
        <v>202</v>
      </c>
      <c r="AA35" s="90"/>
      <c r="AB35" s="90"/>
      <c r="AC35" s="90"/>
      <c r="AD35" s="90"/>
      <c r="AE35" s="90"/>
      <c r="AF35" s="90">
        <v>144</v>
      </c>
      <c r="AG35" s="90"/>
      <c r="AH35" s="90"/>
      <c r="AI35" s="90"/>
      <c r="AJ35" s="90"/>
      <c r="AK35" s="90"/>
      <c r="AL35" s="90"/>
      <c r="AM35" s="90">
        <v>222</v>
      </c>
      <c r="AN35" s="90"/>
      <c r="AO35" s="90"/>
      <c r="AP35" s="90"/>
      <c r="AQ35" s="90"/>
      <c r="AR35" s="90"/>
      <c r="AS35" s="90">
        <v>141</v>
      </c>
      <c r="AT35" s="90">
        <v>140</v>
      </c>
      <c r="AU35" s="90"/>
      <c r="AV35" s="90"/>
      <c r="AW35" s="90">
        <v>146</v>
      </c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90"/>
      <c r="BL35" s="90"/>
      <c r="BM35" s="90"/>
      <c r="BN35" s="90"/>
      <c r="BO35" s="90"/>
      <c r="BP35" s="90"/>
      <c r="BQ35" s="90"/>
      <c r="BR35" s="90"/>
      <c r="BS35" s="90"/>
      <c r="BT35" s="90"/>
      <c r="BU35" s="90"/>
      <c r="BV35" s="90"/>
      <c r="BW35" s="90">
        <v>365</v>
      </c>
      <c r="BX35" s="90">
        <v>209</v>
      </c>
      <c r="BY35" s="90"/>
      <c r="BZ35" s="90"/>
      <c r="CA35" s="90"/>
      <c r="CB35" s="90"/>
      <c r="CC35" s="90"/>
      <c r="CD35" s="90"/>
      <c r="CE35" s="90"/>
      <c r="CF35" s="90"/>
      <c r="CG35" s="90"/>
      <c r="CH35" s="90"/>
      <c r="CI35" s="90"/>
      <c r="CJ35" s="90"/>
      <c r="CK35" s="90"/>
      <c r="CL35" s="90"/>
      <c r="CM35" s="90">
        <v>323</v>
      </c>
      <c r="CN35" s="90"/>
      <c r="CO35" s="90"/>
      <c r="CP35" s="90"/>
      <c r="CQ35" s="90"/>
      <c r="CR35" s="90"/>
      <c r="CS35" s="90"/>
      <c r="CT35" s="90"/>
      <c r="CU35" s="90"/>
      <c r="CV35" s="90"/>
      <c r="CW35" s="90"/>
      <c r="CX35" s="90"/>
      <c r="CY35" s="90">
        <v>406</v>
      </c>
      <c r="CZ35" s="90"/>
      <c r="DA35" s="90"/>
      <c r="DB35" s="90"/>
      <c r="DC35" s="90"/>
      <c r="DD35" s="90"/>
      <c r="DE35" s="90"/>
      <c r="DF35" s="90"/>
      <c r="DG35" s="90"/>
      <c r="DH35" s="90"/>
      <c r="DI35" s="90"/>
      <c r="DJ35" s="90"/>
      <c r="DK35" s="90"/>
      <c r="DL35" s="90"/>
      <c r="DM35" s="90"/>
      <c r="DN35" s="90"/>
      <c r="DO35" s="90">
        <v>203</v>
      </c>
      <c r="DP35" s="90"/>
      <c r="DQ35" s="90"/>
      <c r="DR35" s="90"/>
      <c r="DS35" s="90"/>
      <c r="DT35" s="90"/>
      <c r="DU35" s="90"/>
      <c r="DV35" s="90"/>
      <c r="DW35" s="90"/>
      <c r="DX35" s="90"/>
      <c r="DY35" s="90"/>
      <c r="DZ35" s="90"/>
      <c r="EA35" s="90"/>
      <c r="EB35" s="90"/>
      <c r="EC35" s="90"/>
      <c r="ED35" s="90"/>
      <c r="EE35" s="90"/>
      <c r="EF35" s="90"/>
      <c r="EG35" s="90"/>
      <c r="EH35" s="90"/>
      <c r="EI35" s="90"/>
      <c r="EJ35" s="90"/>
      <c r="EK35" s="90"/>
      <c r="EL35" s="90"/>
      <c r="EM35" s="90"/>
      <c r="EN35" s="90"/>
      <c r="EO35" s="90"/>
      <c r="EP35" s="90"/>
      <c r="EQ35" s="90"/>
      <c r="ER35" s="90"/>
      <c r="ES35" s="90"/>
      <c r="ET35" s="90">
        <v>319</v>
      </c>
      <c r="EU35" s="90"/>
      <c r="EV35" s="90"/>
      <c r="EW35" s="90"/>
      <c r="EX35" s="90"/>
      <c r="EY35" s="90"/>
      <c r="EZ35" s="90"/>
      <c r="FA35" s="90"/>
      <c r="FB35" s="90"/>
      <c r="FC35" s="90"/>
      <c r="FD35" s="90"/>
      <c r="FE35" s="90"/>
      <c r="FF35" s="90"/>
      <c r="FG35" s="90"/>
      <c r="FH35" s="90"/>
      <c r="FI35" s="90"/>
      <c r="FJ35" s="90"/>
      <c r="FK35" s="90">
        <v>385</v>
      </c>
      <c r="FL35" s="90"/>
      <c r="FM35" s="90"/>
      <c r="FN35" s="90"/>
      <c r="FO35" s="90"/>
      <c r="FP35" s="90"/>
      <c r="FQ35" s="90"/>
      <c r="FR35" s="90"/>
      <c r="FS35" s="90"/>
      <c r="FT35" s="90"/>
      <c r="FU35" s="90"/>
      <c r="FV35" s="90"/>
      <c r="FW35" s="90"/>
      <c r="FX35" s="90"/>
      <c r="FY35" s="90"/>
      <c r="FZ35" s="90"/>
      <c r="GA35" s="90"/>
      <c r="GB35" s="90"/>
      <c r="GC35" s="90"/>
      <c r="GD35" s="90"/>
      <c r="GE35" s="90"/>
      <c r="GF35" s="90"/>
      <c r="GG35" s="90"/>
      <c r="GH35" s="90"/>
      <c r="GI35" s="90"/>
      <c r="GJ35" s="90"/>
      <c r="GK35" s="90"/>
      <c r="GL35" s="90"/>
      <c r="GM35" s="90"/>
      <c r="GN35" s="90"/>
      <c r="GO35" s="90"/>
      <c r="GP35" s="90"/>
      <c r="GQ35" s="90"/>
      <c r="GR35" s="90"/>
      <c r="GS35" s="90"/>
      <c r="GT35" s="90"/>
      <c r="GU35" s="90"/>
      <c r="GV35" s="90"/>
      <c r="GW35" s="90"/>
      <c r="GX35" s="90"/>
      <c r="GY35" s="90"/>
      <c r="GZ35" s="90"/>
      <c r="HA35" s="90"/>
      <c r="HB35" s="90"/>
      <c r="HC35" s="90"/>
      <c r="HD35" s="90"/>
      <c r="HE35" s="90"/>
      <c r="HF35" s="90"/>
      <c r="HG35" s="90"/>
      <c r="HH35" s="90"/>
      <c r="HI35" s="90"/>
      <c r="HJ35" s="90"/>
      <c r="HK35" s="90"/>
      <c r="HL35" s="90"/>
      <c r="HM35" s="90"/>
      <c r="HN35" s="90"/>
      <c r="HO35" s="90"/>
      <c r="HP35" s="90"/>
      <c r="HQ35" s="90"/>
      <c r="HR35" s="90"/>
      <c r="HS35" s="90"/>
      <c r="HT35" s="90"/>
      <c r="HU35" s="90"/>
      <c r="HV35" s="90"/>
      <c r="HW35" s="90"/>
      <c r="HX35" s="90"/>
      <c r="HY35" s="90"/>
      <c r="HZ35" s="90"/>
      <c r="IA35" s="90"/>
      <c r="IB35" s="90"/>
      <c r="IC35" s="90"/>
      <c r="ID35" s="90"/>
      <c r="IE35" s="90"/>
      <c r="IF35" s="90"/>
      <c r="IG35" s="90"/>
      <c r="IH35" s="90"/>
      <c r="II35" s="90"/>
      <c r="IJ35" s="90"/>
      <c r="IK35" s="90"/>
      <c r="IL35" s="90"/>
      <c r="IM35" s="90"/>
      <c r="IN35" s="90"/>
      <c r="IO35" s="90"/>
      <c r="IP35" s="90"/>
      <c r="IQ35" s="90"/>
      <c r="IR35" s="90"/>
      <c r="IS35" s="90"/>
      <c r="IT35" s="90"/>
      <c r="IU35" s="90"/>
      <c r="IV35" s="90"/>
      <c r="IW35" s="90"/>
      <c r="IX35" s="90"/>
      <c r="IY35" s="90"/>
      <c r="IZ35" s="90"/>
      <c r="JA35" s="90"/>
      <c r="JB35" s="90"/>
      <c r="JC35" s="90"/>
      <c r="JD35" s="90"/>
      <c r="JE35" s="90"/>
      <c r="JF35" s="90"/>
      <c r="JG35" s="90"/>
      <c r="JH35" s="90"/>
      <c r="JI35" s="90"/>
      <c r="JJ35" s="90"/>
      <c r="JK35" s="90"/>
      <c r="JL35" s="90"/>
      <c r="JM35" s="90"/>
      <c r="JN35" s="90"/>
      <c r="JO35" s="90"/>
      <c r="JP35" s="90"/>
      <c r="JQ35" s="90"/>
      <c r="JR35" s="90"/>
      <c r="JS35" s="90"/>
      <c r="JT35" s="90"/>
      <c r="JU35" s="90"/>
      <c r="JV35" s="90"/>
      <c r="JW35" s="90"/>
      <c r="JX35" s="90"/>
      <c r="JY35" s="90"/>
      <c r="JZ35" s="90"/>
      <c r="KA35" s="90"/>
      <c r="KB35" s="90"/>
      <c r="KC35" s="90"/>
      <c r="KD35" s="90"/>
      <c r="KE35" s="90"/>
      <c r="KF35" s="90"/>
      <c r="KG35" s="90"/>
      <c r="KH35" s="90"/>
      <c r="KI35" s="90"/>
      <c r="KJ35" s="90"/>
      <c r="KK35" s="90"/>
      <c r="KL35" s="90"/>
      <c r="KM35" s="90"/>
      <c r="KN35" s="90"/>
      <c r="KO35" s="90"/>
      <c r="KP35" s="90"/>
      <c r="KQ35" s="90"/>
      <c r="KR35" s="90"/>
      <c r="KS35" s="90"/>
      <c r="KT35" s="90"/>
      <c r="KU35" s="90"/>
      <c r="KV35" s="90"/>
      <c r="KW35" s="90"/>
      <c r="KX35" s="90"/>
      <c r="KY35" s="90"/>
      <c r="KZ35" s="90"/>
      <c r="LA35" s="90"/>
      <c r="LB35" s="90"/>
      <c r="LC35" s="90"/>
      <c r="LD35" s="90"/>
      <c r="LE35" s="90"/>
      <c r="LF35" s="90"/>
      <c r="LG35" s="90"/>
      <c r="LH35" s="90"/>
      <c r="LI35" s="90"/>
      <c r="LJ35" s="90"/>
      <c r="LK35" s="90"/>
      <c r="LL35" s="90"/>
      <c r="LM35" s="90"/>
      <c r="LN35" s="90"/>
      <c r="LO35" s="90"/>
      <c r="LP35" s="90"/>
      <c r="LQ35" s="90"/>
      <c r="LR35" s="90"/>
      <c r="LS35" s="90"/>
      <c r="LT35" s="90"/>
      <c r="LU35" s="90"/>
      <c r="LV35" s="90"/>
      <c r="LW35" s="90"/>
      <c r="LX35" s="90"/>
      <c r="LY35" s="90"/>
      <c r="LZ35" s="90"/>
      <c r="MA35" s="90"/>
      <c r="MB35" s="90"/>
      <c r="MC35" s="90"/>
      <c r="MD35" s="90"/>
      <c r="ME35" s="90"/>
      <c r="MF35" s="90"/>
      <c r="MG35" s="90"/>
      <c r="MH35" s="90"/>
      <c r="MI35" s="90"/>
      <c r="MJ35" s="90"/>
      <c r="MK35" s="90"/>
      <c r="ML35" s="90"/>
      <c r="MM35" s="90"/>
      <c r="MN35" s="90"/>
      <c r="MO35" s="90"/>
      <c r="MP35" s="90"/>
      <c r="MQ35" s="90"/>
      <c r="MR35" s="90"/>
      <c r="MS35" s="90"/>
      <c r="MT35" s="90"/>
      <c r="MU35" s="90"/>
      <c r="MV35" s="90"/>
      <c r="MW35" s="90"/>
      <c r="MX35" s="90"/>
      <c r="MY35" s="90"/>
      <c r="MZ35" s="90"/>
      <c r="NA35" s="90"/>
      <c r="NB35" s="90"/>
      <c r="NC35" s="90"/>
      <c r="ND35" s="90"/>
      <c r="NE35" s="90"/>
    </row>
    <row r="36" spans="1:369" s="229" customFormat="1" x14ac:dyDescent="0.2">
      <c r="A36" s="226" t="s">
        <v>20</v>
      </c>
      <c r="B36" s="227"/>
      <c r="C36" s="228">
        <v>45</v>
      </c>
      <c r="D36" s="225">
        <v>70</v>
      </c>
      <c r="E36" s="225">
        <v>70</v>
      </c>
      <c r="F36" s="225"/>
      <c r="G36" s="225"/>
      <c r="H36" s="225"/>
      <c r="I36" s="225"/>
      <c r="J36" s="225"/>
      <c r="K36" s="225">
        <v>25</v>
      </c>
      <c r="L36" s="225">
        <v>34</v>
      </c>
      <c r="M36" s="225">
        <v>33</v>
      </c>
      <c r="N36" s="225">
        <v>52</v>
      </c>
      <c r="O36" s="225"/>
      <c r="P36" s="225"/>
      <c r="Q36" s="225">
        <v>44</v>
      </c>
      <c r="R36" s="225">
        <v>60</v>
      </c>
      <c r="S36" s="225">
        <v>40</v>
      </c>
      <c r="T36" s="225">
        <v>40</v>
      </c>
      <c r="U36" s="225">
        <v>85</v>
      </c>
      <c r="V36" s="225"/>
      <c r="W36" s="225"/>
      <c r="X36" s="225">
        <v>92</v>
      </c>
      <c r="Y36" s="225">
        <v>40</v>
      </c>
      <c r="Z36" s="225"/>
      <c r="AA36" s="225">
        <v>48</v>
      </c>
      <c r="AB36" s="225">
        <v>100</v>
      </c>
      <c r="AC36" s="225"/>
      <c r="AD36" s="225"/>
      <c r="AE36" s="225">
        <v>87</v>
      </c>
      <c r="AF36" s="225"/>
      <c r="AG36" s="225">
        <v>90</v>
      </c>
      <c r="AH36" s="225">
        <v>25</v>
      </c>
      <c r="AI36" s="225">
        <v>65</v>
      </c>
      <c r="AJ36" s="225"/>
      <c r="AK36" s="225"/>
      <c r="AL36" s="225">
        <v>87</v>
      </c>
      <c r="AM36" s="225"/>
      <c r="AN36" s="225">
        <v>40</v>
      </c>
      <c r="AO36" s="225">
        <v>45</v>
      </c>
      <c r="AP36" s="225">
        <v>65</v>
      </c>
      <c r="AQ36" s="225"/>
      <c r="AR36" s="225"/>
      <c r="AS36" s="225"/>
      <c r="AT36" s="225">
        <v>145</v>
      </c>
      <c r="AU36" s="225"/>
      <c r="AV36" s="225"/>
      <c r="AW36" s="225"/>
      <c r="AX36" s="225"/>
      <c r="AY36" s="225"/>
      <c r="AZ36" s="225">
        <v>88</v>
      </c>
      <c r="BA36" s="225"/>
      <c r="BB36" s="225">
        <v>60</v>
      </c>
      <c r="BC36" s="225"/>
      <c r="BD36" s="225">
        <v>47</v>
      </c>
      <c r="BE36" s="225"/>
      <c r="BF36" s="225"/>
      <c r="BG36" s="225">
        <v>60</v>
      </c>
      <c r="BH36" s="225">
        <v>50</v>
      </c>
      <c r="BI36" s="225">
        <v>40</v>
      </c>
      <c r="BJ36" s="225">
        <v>20</v>
      </c>
      <c r="BK36" s="225">
        <v>35</v>
      </c>
      <c r="BL36" s="225"/>
      <c r="BM36" s="225"/>
      <c r="BN36" s="225">
        <v>40</v>
      </c>
      <c r="BO36" s="225">
        <v>40</v>
      </c>
      <c r="BP36" s="225"/>
      <c r="BQ36" s="225">
        <v>20</v>
      </c>
      <c r="BR36" s="225">
        <v>47</v>
      </c>
      <c r="BS36" s="225"/>
      <c r="BT36" s="225"/>
      <c r="BU36" s="225">
        <v>42</v>
      </c>
      <c r="BV36" s="225">
        <v>60</v>
      </c>
      <c r="BW36" s="225">
        <v>32</v>
      </c>
      <c r="BX36" s="225"/>
      <c r="BY36" s="225">
        <v>45</v>
      </c>
      <c r="BZ36" s="225"/>
      <c r="CA36" s="225"/>
      <c r="CB36" s="225">
        <v>62</v>
      </c>
      <c r="CC36" s="225">
        <v>40</v>
      </c>
      <c r="CD36" s="225">
        <v>45</v>
      </c>
      <c r="CE36" s="225"/>
      <c r="CF36" s="225">
        <v>46</v>
      </c>
      <c r="CG36" s="225"/>
      <c r="CH36" s="225"/>
      <c r="CI36" s="225">
        <v>15</v>
      </c>
      <c r="CJ36" s="225">
        <v>60</v>
      </c>
      <c r="CK36" s="225"/>
      <c r="CL36" s="225">
        <v>20</v>
      </c>
      <c r="CM36" s="225">
        <v>30</v>
      </c>
      <c r="CN36" s="225"/>
      <c r="CO36" s="225"/>
      <c r="CP36" s="225"/>
      <c r="CQ36" s="225">
        <v>60</v>
      </c>
      <c r="CR36" s="225">
        <v>11</v>
      </c>
      <c r="CS36" s="225">
        <v>86</v>
      </c>
      <c r="CT36" s="225"/>
      <c r="CU36" s="225"/>
      <c r="CV36" s="225"/>
      <c r="CW36" s="225"/>
      <c r="CX36" s="225">
        <v>60</v>
      </c>
      <c r="CY36" s="225"/>
      <c r="CZ36" s="225"/>
      <c r="DA36" s="225">
        <v>35</v>
      </c>
      <c r="DB36" s="225"/>
      <c r="DC36" s="225"/>
      <c r="DD36" s="225">
        <v>40</v>
      </c>
      <c r="DE36" s="225">
        <v>60</v>
      </c>
      <c r="DF36" s="225"/>
      <c r="DG36" s="225"/>
      <c r="DH36" s="225"/>
      <c r="DI36" s="225"/>
      <c r="DJ36" s="225"/>
      <c r="DK36" s="225">
        <v>50</v>
      </c>
      <c r="DL36" s="225">
        <v>40</v>
      </c>
      <c r="DM36" s="225">
        <v>50</v>
      </c>
      <c r="DN36" s="225"/>
      <c r="DO36" s="225">
        <v>56</v>
      </c>
      <c r="DP36" s="225"/>
      <c r="DQ36" s="225"/>
      <c r="DR36" s="225">
        <v>44</v>
      </c>
      <c r="DS36" s="225">
        <v>60</v>
      </c>
      <c r="DT36" s="225"/>
      <c r="DU36" s="225">
        <v>48</v>
      </c>
      <c r="DV36" s="225"/>
      <c r="DW36" s="225"/>
      <c r="DX36" s="225"/>
      <c r="DY36" s="225"/>
      <c r="DZ36" s="225"/>
      <c r="EA36" s="225"/>
      <c r="EB36" s="225"/>
      <c r="EC36" s="225">
        <v>50</v>
      </c>
      <c r="ED36" s="225"/>
      <c r="EE36" s="225"/>
      <c r="EF36" s="225"/>
      <c r="EG36" s="225">
        <v>20</v>
      </c>
      <c r="EH36" s="225">
        <v>60</v>
      </c>
      <c r="EI36" s="225"/>
      <c r="EJ36" s="225">
        <v>24</v>
      </c>
      <c r="EK36" s="225"/>
      <c r="EL36" s="225"/>
      <c r="EM36" s="225"/>
      <c r="EN36" s="225">
        <v>40</v>
      </c>
      <c r="EO36" s="225">
        <v>32</v>
      </c>
      <c r="EP36" s="225">
        <v>30</v>
      </c>
      <c r="EQ36" s="225"/>
      <c r="ER36" s="225"/>
      <c r="ES36" s="225"/>
      <c r="ET36" s="225"/>
      <c r="EU36" s="225">
        <v>73</v>
      </c>
      <c r="EV36" s="225"/>
      <c r="EW36" s="225">
        <v>25</v>
      </c>
      <c r="EX36" s="225">
        <v>25</v>
      </c>
      <c r="EY36" s="225"/>
      <c r="EZ36" s="225"/>
      <c r="FA36" s="225">
        <v>10</v>
      </c>
      <c r="FB36" s="225">
        <v>20</v>
      </c>
      <c r="FC36" s="225">
        <v>60</v>
      </c>
      <c r="FD36" s="225"/>
      <c r="FE36" s="225">
        <v>54</v>
      </c>
      <c r="FF36" s="225"/>
      <c r="FG36" s="225"/>
      <c r="FH36" s="225">
        <v>20</v>
      </c>
      <c r="FI36" s="225">
        <v>60</v>
      </c>
      <c r="FJ36" s="225"/>
      <c r="FK36" s="225"/>
      <c r="FL36" s="225">
        <v>45</v>
      </c>
      <c r="FM36" s="225"/>
      <c r="FN36" s="225"/>
      <c r="FO36" s="225"/>
      <c r="FP36" s="225"/>
      <c r="FQ36" s="225"/>
      <c r="FR36" s="225"/>
      <c r="FS36" s="225"/>
      <c r="FT36" s="225"/>
      <c r="FU36" s="225"/>
      <c r="FV36" s="225"/>
      <c r="FW36" s="225"/>
      <c r="FX36" s="225"/>
      <c r="FY36" s="225"/>
      <c r="FZ36" s="225"/>
      <c r="GA36" s="225"/>
      <c r="GB36" s="225"/>
      <c r="GC36" s="225"/>
      <c r="GD36" s="225"/>
      <c r="GE36" s="225"/>
      <c r="GF36" s="225"/>
      <c r="GG36" s="225"/>
      <c r="GH36" s="225"/>
      <c r="GI36" s="225"/>
      <c r="GJ36" s="225"/>
      <c r="GK36" s="225"/>
      <c r="GL36" s="225"/>
      <c r="GM36" s="225"/>
      <c r="GN36" s="225"/>
      <c r="GO36" s="225"/>
      <c r="GP36" s="225"/>
      <c r="GQ36" s="225"/>
      <c r="GR36" s="225"/>
      <c r="GS36" s="225"/>
      <c r="GT36" s="225"/>
      <c r="GU36" s="225"/>
      <c r="GV36" s="225"/>
      <c r="GW36" s="225"/>
      <c r="GX36" s="225"/>
      <c r="GY36" s="225"/>
      <c r="GZ36" s="225"/>
      <c r="HA36" s="225"/>
      <c r="HB36" s="225"/>
      <c r="HC36" s="225"/>
      <c r="HD36" s="225"/>
      <c r="HE36" s="225"/>
      <c r="HF36" s="225"/>
      <c r="HG36" s="225"/>
      <c r="HH36" s="225"/>
      <c r="HI36" s="225"/>
      <c r="HJ36" s="225"/>
      <c r="HK36" s="225"/>
      <c r="HL36" s="225"/>
      <c r="HM36" s="225"/>
      <c r="HN36" s="225"/>
      <c r="HO36" s="225"/>
      <c r="HP36" s="225"/>
      <c r="HQ36" s="225"/>
      <c r="HR36" s="225"/>
      <c r="HS36" s="225"/>
      <c r="HT36" s="225"/>
      <c r="HU36" s="225"/>
      <c r="HV36" s="225"/>
      <c r="HW36" s="225"/>
      <c r="HX36" s="225"/>
      <c r="HY36" s="225"/>
      <c r="HZ36" s="225"/>
      <c r="IA36" s="225"/>
      <c r="IB36" s="225"/>
      <c r="IC36" s="225"/>
      <c r="ID36" s="225"/>
      <c r="IE36" s="225"/>
      <c r="IF36" s="225"/>
      <c r="IG36" s="225"/>
      <c r="IH36" s="225"/>
      <c r="II36" s="225"/>
      <c r="IJ36" s="225"/>
      <c r="IK36" s="225"/>
      <c r="IL36" s="225"/>
      <c r="IM36" s="225"/>
      <c r="IN36" s="225"/>
      <c r="IO36" s="225"/>
      <c r="IP36" s="225"/>
      <c r="IQ36" s="225"/>
      <c r="IR36" s="225"/>
      <c r="IS36" s="225"/>
      <c r="IT36" s="225"/>
      <c r="IU36" s="225"/>
      <c r="IV36" s="225"/>
      <c r="IW36" s="225"/>
      <c r="IX36" s="225"/>
      <c r="IY36" s="225"/>
      <c r="IZ36" s="225"/>
      <c r="JA36" s="225"/>
      <c r="JB36" s="225"/>
      <c r="JC36" s="225"/>
      <c r="JD36" s="225"/>
      <c r="JE36" s="225"/>
      <c r="JF36" s="225"/>
      <c r="JG36" s="225"/>
      <c r="JH36" s="225"/>
      <c r="JI36" s="225"/>
      <c r="JJ36" s="225"/>
      <c r="JK36" s="225"/>
      <c r="JL36" s="225"/>
      <c r="JM36" s="225"/>
      <c r="JN36" s="225"/>
      <c r="JO36" s="225"/>
      <c r="JP36" s="225"/>
      <c r="JQ36" s="225"/>
      <c r="JR36" s="225"/>
      <c r="JS36" s="225"/>
      <c r="JT36" s="225"/>
      <c r="JU36" s="225"/>
      <c r="JV36" s="225"/>
      <c r="JW36" s="225"/>
      <c r="JX36" s="225"/>
      <c r="JY36" s="225"/>
      <c r="JZ36" s="225"/>
      <c r="KA36" s="225"/>
      <c r="KB36" s="225"/>
      <c r="KC36" s="225"/>
      <c r="KD36" s="225"/>
      <c r="KE36" s="225"/>
      <c r="KF36" s="225"/>
      <c r="KG36" s="225"/>
      <c r="KH36" s="225"/>
      <c r="KI36" s="225"/>
      <c r="KJ36" s="225"/>
      <c r="KK36" s="225"/>
      <c r="KL36" s="225"/>
      <c r="KM36" s="225"/>
      <c r="KN36" s="225"/>
      <c r="KO36" s="225"/>
      <c r="KP36" s="225"/>
      <c r="KQ36" s="225"/>
      <c r="KR36" s="225"/>
      <c r="KS36" s="225"/>
      <c r="KT36" s="225"/>
      <c r="KU36" s="225"/>
      <c r="KV36" s="225"/>
      <c r="KW36" s="225"/>
      <c r="KX36" s="225"/>
      <c r="KY36" s="225"/>
      <c r="KZ36" s="225"/>
      <c r="LA36" s="225"/>
      <c r="LB36" s="225"/>
      <c r="LC36" s="225"/>
      <c r="LD36" s="225"/>
      <c r="LE36" s="225"/>
      <c r="LF36" s="225"/>
      <c r="LG36" s="225"/>
      <c r="LH36" s="225"/>
      <c r="LI36" s="225"/>
      <c r="LJ36" s="225"/>
      <c r="LK36" s="225"/>
      <c r="LL36" s="225"/>
      <c r="LM36" s="225"/>
      <c r="LN36" s="225"/>
      <c r="LO36" s="225"/>
      <c r="LP36" s="225"/>
      <c r="LQ36" s="225"/>
      <c r="LR36" s="225"/>
      <c r="LS36" s="225"/>
      <c r="LT36" s="225"/>
      <c r="LU36" s="225"/>
      <c r="LV36" s="225"/>
      <c r="LW36" s="225"/>
      <c r="LX36" s="225"/>
      <c r="LY36" s="225"/>
      <c r="LZ36" s="225"/>
      <c r="MA36" s="225"/>
      <c r="MB36" s="225"/>
      <c r="MC36" s="225"/>
      <c r="MD36" s="225"/>
      <c r="ME36" s="225"/>
      <c r="MF36" s="225"/>
      <c r="MG36" s="225"/>
      <c r="MH36" s="225"/>
      <c r="MI36" s="225"/>
      <c r="MJ36" s="225"/>
      <c r="MK36" s="225"/>
      <c r="ML36" s="225"/>
      <c r="MM36" s="225"/>
      <c r="MN36" s="225"/>
      <c r="MO36" s="225"/>
      <c r="MP36" s="225"/>
      <c r="MQ36" s="225"/>
      <c r="MR36" s="225"/>
      <c r="MS36" s="225"/>
      <c r="MT36" s="225"/>
      <c r="MU36" s="225"/>
      <c r="MV36" s="225"/>
      <c r="MW36" s="225"/>
      <c r="MX36" s="225"/>
      <c r="MY36" s="225"/>
      <c r="MZ36" s="225"/>
      <c r="NA36" s="225"/>
      <c r="NB36" s="225"/>
      <c r="NC36" s="225"/>
      <c r="ND36" s="225"/>
      <c r="NE36" s="225"/>
    </row>
    <row r="37" spans="1:369" s="229" customFormat="1" ht="16" thickBot="1" x14ac:dyDescent="0.25">
      <c r="A37" s="231" t="s">
        <v>21</v>
      </c>
      <c r="B37" s="232"/>
      <c r="C37" s="233">
        <v>34</v>
      </c>
      <c r="D37" s="230"/>
      <c r="E37" s="230">
        <v>19</v>
      </c>
      <c r="F37" s="230"/>
      <c r="G37" s="230"/>
      <c r="H37" s="230"/>
      <c r="I37" s="230"/>
      <c r="J37" s="230"/>
      <c r="K37" s="230"/>
      <c r="L37" s="230"/>
      <c r="M37" s="230"/>
      <c r="N37" s="230">
        <v>15</v>
      </c>
      <c r="O37" s="230"/>
      <c r="P37" s="230"/>
      <c r="Q37" s="230">
        <v>34</v>
      </c>
      <c r="R37" s="230"/>
      <c r="S37" s="230"/>
      <c r="T37" s="230">
        <v>27</v>
      </c>
      <c r="U37" s="230">
        <v>37</v>
      </c>
      <c r="V37" s="230"/>
      <c r="W37" s="230"/>
      <c r="X37" s="230">
        <v>19</v>
      </c>
      <c r="Y37" s="230"/>
      <c r="Z37" s="230"/>
      <c r="AA37" s="230">
        <v>23</v>
      </c>
      <c r="AB37" s="230">
        <v>23</v>
      </c>
      <c r="AC37" s="230"/>
      <c r="AD37" s="230"/>
      <c r="AE37" s="230">
        <v>36</v>
      </c>
      <c r="AF37" s="230"/>
      <c r="AG37" s="230">
        <v>25</v>
      </c>
      <c r="AH37" s="230"/>
      <c r="AI37" s="230">
        <v>24</v>
      </c>
      <c r="AJ37" s="230"/>
      <c r="AK37" s="230"/>
      <c r="AL37" s="230">
        <v>35</v>
      </c>
      <c r="AM37" s="230"/>
      <c r="AN37" s="230"/>
      <c r="AO37" s="230">
        <v>51</v>
      </c>
      <c r="AP37" s="230">
        <v>31</v>
      </c>
      <c r="AQ37" s="230"/>
      <c r="AR37" s="230"/>
      <c r="AS37" s="230"/>
      <c r="AT37" s="230">
        <v>49</v>
      </c>
      <c r="AU37" s="230"/>
      <c r="AV37" s="230"/>
      <c r="AW37" s="230"/>
      <c r="AX37" s="230"/>
      <c r="AY37" s="230"/>
      <c r="AZ37" s="230">
        <v>36</v>
      </c>
      <c r="BA37" s="230"/>
      <c r="BB37" s="230">
        <v>18</v>
      </c>
      <c r="BC37" s="230"/>
      <c r="BD37" s="230">
        <v>40</v>
      </c>
      <c r="BE37" s="230"/>
      <c r="BF37" s="230"/>
      <c r="BG37" s="230"/>
      <c r="BH37" s="230">
        <v>26</v>
      </c>
      <c r="BI37" s="230"/>
      <c r="BJ37" s="230"/>
      <c r="BK37" s="230">
        <v>33</v>
      </c>
      <c r="BL37" s="230"/>
      <c r="BM37" s="230"/>
      <c r="BN37" s="230"/>
      <c r="BO37" s="230">
        <v>82</v>
      </c>
      <c r="BP37" s="230"/>
      <c r="BQ37" s="230"/>
      <c r="BR37" s="230">
        <v>27</v>
      </c>
      <c r="BS37" s="230"/>
      <c r="BT37" s="230"/>
      <c r="BU37" s="230">
        <v>52</v>
      </c>
      <c r="BV37" s="230"/>
      <c r="BW37" s="230">
        <v>12</v>
      </c>
      <c r="BX37" s="230"/>
      <c r="BY37" s="230">
        <v>88</v>
      </c>
      <c r="BZ37" s="230"/>
      <c r="CA37" s="230"/>
      <c r="CB37" s="230">
        <v>49</v>
      </c>
      <c r="CC37" s="230"/>
      <c r="CD37" s="230">
        <v>11</v>
      </c>
      <c r="CE37" s="230"/>
      <c r="CF37" s="230">
        <v>36</v>
      </c>
      <c r="CG37" s="230"/>
      <c r="CH37" s="230"/>
      <c r="CI37" s="230">
        <v>36</v>
      </c>
      <c r="CJ37" s="230"/>
      <c r="CK37" s="230"/>
      <c r="CL37" s="230">
        <v>30</v>
      </c>
      <c r="CM37" s="230">
        <v>29</v>
      </c>
      <c r="CN37" s="230"/>
      <c r="CO37" s="230"/>
      <c r="CP37" s="230">
        <v>50</v>
      </c>
      <c r="CQ37" s="230">
        <v>45</v>
      </c>
      <c r="CR37" s="230">
        <v>66</v>
      </c>
      <c r="CS37" s="230">
        <v>80</v>
      </c>
      <c r="CT37" s="230"/>
      <c r="CU37" s="230"/>
      <c r="CV37" s="230"/>
      <c r="CW37" s="230"/>
      <c r="CX37" s="230"/>
      <c r="CY37" s="230">
        <v>83</v>
      </c>
      <c r="CZ37" s="230"/>
      <c r="DA37" s="230">
        <v>49</v>
      </c>
      <c r="DB37" s="230"/>
      <c r="DC37" s="230"/>
      <c r="DD37" s="230">
        <v>78</v>
      </c>
      <c r="DE37" s="230"/>
      <c r="DF37" s="230"/>
      <c r="DG37" s="230"/>
      <c r="DH37" s="230"/>
      <c r="DI37" s="230"/>
      <c r="DJ37" s="230"/>
      <c r="DK37" s="230">
        <v>49</v>
      </c>
      <c r="DL37" s="230"/>
      <c r="DM37" s="230">
        <v>21</v>
      </c>
      <c r="DN37" s="230"/>
      <c r="DO37" s="230"/>
      <c r="DP37" s="230"/>
      <c r="DQ37" s="230"/>
      <c r="DR37" s="230">
        <v>38</v>
      </c>
      <c r="DS37" s="230"/>
      <c r="DT37" s="230"/>
      <c r="DU37" s="230">
        <v>19</v>
      </c>
      <c r="DV37" s="230"/>
      <c r="DW37" s="230"/>
      <c r="DX37" s="230"/>
      <c r="DY37" s="230"/>
      <c r="DZ37" s="230"/>
      <c r="EA37" s="230"/>
      <c r="EB37" s="230"/>
      <c r="EC37" s="230">
        <v>64</v>
      </c>
      <c r="ED37" s="230"/>
      <c r="EE37" s="230"/>
      <c r="EF37" s="230"/>
      <c r="EG37" s="230">
        <v>28</v>
      </c>
      <c r="EH37" s="230"/>
      <c r="EI37" s="230"/>
      <c r="EJ37" s="230"/>
      <c r="EK37" s="230"/>
      <c r="EL37" s="230"/>
      <c r="EM37" s="230"/>
      <c r="EN37" s="230"/>
      <c r="EO37" s="230">
        <v>28</v>
      </c>
      <c r="EP37" s="230">
        <v>5</v>
      </c>
      <c r="EQ37" s="230"/>
      <c r="ER37" s="230"/>
      <c r="ES37" s="230"/>
      <c r="ET37" s="230"/>
      <c r="EU37" s="230">
        <v>21</v>
      </c>
      <c r="EV37" s="230"/>
      <c r="EW37" s="230">
        <v>20</v>
      </c>
      <c r="EX37" s="230"/>
      <c r="EY37" s="230"/>
      <c r="EZ37" s="230"/>
      <c r="FA37" s="230">
        <v>27</v>
      </c>
      <c r="FB37" s="230"/>
      <c r="FC37" s="230"/>
      <c r="FD37" s="230"/>
      <c r="FE37" s="230">
        <v>13</v>
      </c>
      <c r="FF37" s="230"/>
      <c r="FG37" s="230"/>
      <c r="FH37" s="230">
        <v>40</v>
      </c>
      <c r="FI37" s="230"/>
      <c r="FJ37" s="230"/>
      <c r="FK37" s="230"/>
      <c r="FL37" s="230">
        <v>15</v>
      </c>
      <c r="FM37" s="230"/>
      <c r="FN37" s="230"/>
      <c r="FO37" s="230"/>
      <c r="FP37" s="230"/>
      <c r="FQ37" s="230"/>
      <c r="FR37" s="230"/>
      <c r="FS37" s="230"/>
      <c r="FT37" s="230"/>
      <c r="FU37" s="230"/>
      <c r="FV37" s="230"/>
      <c r="FW37" s="230"/>
      <c r="FX37" s="230"/>
      <c r="FY37" s="230"/>
      <c r="FZ37" s="230"/>
      <c r="GA37" s="230"/>
      <c r="GB37" s="230"/>
      <c r="GC37" s="230"/>
      <c r="GD37" s="230"/>
      <c r="GE37" s="230"/>
      <c r="GF37" s="230"/>
      <c r="GG37" s="230"/>
      <c r="GH37" s="230"/>
      <c r="GI37" s="230"/>
      <c r="GJ37" s="230"/>
      <c r="GK37" s="230"/>
      <c r="GL37" s="230"/>
      <c r="GM37" s="230"/>
      <c r="GN37" s="230"/>
      <c r="GO37" s="230"/>
      <c r="GP37" s="230"/>
      <c r="GQ37" s="230"/>
      <c r="GR37" s="230"/>
      <c r="GS37" s="230"/>
      <c r="GT37" s="230"/>
      <c r="GU37" s="230"/>
      <c r="GV37" s="230"/>
      <c r="GW37" s="230"/>
      <c r="GX37" s="230"/>
      <c r="GY37" s="230"/>
      <c r="GZ37" s="230"/>
      <c r="HA37" s="230"/>
      <c r="HB37" s="230"/>
      <c r="HC37" s="230"/>
      <c r="HD37" s="230"/>
      <c r="HE37" s="230"/>
      <c r="HF37" s="230"/>
      <c r="HG37" s="230"/>
      <c r="HH37" s="230"/>
      <c r="HI37" s="230"/>
      <c r="HJ37" s="230"/>
      <c r="HK37" s="230"/>
      <c r="HL37" s="230"/>
      <c r="HM37" s="230"/>
      <c r="HN37" s="230"/>
      <c r="HO37" s="230"/>
      <c r="HP37" s="230"/>
      <c r="HQ37" s="230"/>
      <c r="HR37" s="230"/>
      <c r="HS37" s="230"/>
      <c r="HT37" s="230"/>
      <c r="HU37" s="230"/>
      <c r="HV37" s="230"/>
      <c r="HW37" s="230"/>
      <c r="HX37" s="230"/>
      <c r="HY37" s="230"/>
      <c r="HZ37" s="230"/>
      <c r="IA37" s="230"/>
      <c r="IB37" s="230"/>
      <c r="IC37" s="230"/>
      <c r="ID37" s="230"/>
      <c r="IE37" s="230"/>
      <c r="IF37" s="230"/>
      <c r="IG37" s="230"/>
      <c r="IH37" s="230"/>
      <c r="II37" s="230"/>
      <c r="IJ37" s="230"/>
      <c r="IK37" s="230"/>
      <c r="IL37" s="230"/>
      <c r="IM37" s="230"/>
      <c r="IN37" s="230"/>
      <c r="IO37" s="230"/>
      <c r="IP37" s="230"/>
      <c r="IQ37" s="230"/>
      <c r="IR37" s="230"/>
      <c r="IS37" s="230"/>
      <c r="IT37" s="230"/>
      <c r="IU37" s="230"/>
      <c r="IV37" s="230"/>
      <c r="IW37" s="230"/>
      <c r="IX37" s="230"/>
      <c r="IY37" s="230"/>
      <c r="IZ37" s="230"/>
      <c r="JA37" s="230"/>
      <c r="JB37" s="230"/>
      <c r="JC37" s="230"/>
      <c r="JD37" s="230"/>
      <c r="JE37" s="230"/>
      <c r="JF37" s="230"/>
      <c r="JG37" s="230"/>
      <c r="JH37" s="230"/>
      <c r="JI37" s="230"/>
      <c r="JJ37" s="230"/>
      <c r="JK37" s="230"/>
      <c r="JL37" s="230"/>
      <c r="JM37" s="230"/>
      <c r="JN37" s="230"/>
      <c r="JO37" s="230"/>
      <c r="JP37" s="230"/>
      <c r="JQ37" s="230"/>
      <c r="JR37" s="230"/>
      <c r="JS37" s="230"/>
      <c r="JT37" s="230"/>
      <c r="JU37" s="230"/>
      <c r="JV37" s="230"/>
      <c r="JW37" s="230"/>
      <c r="JX37" s="230"/>
      <c r="JY37" s="230"/>
      <c r="JZ37" s="230"/>
      <c r="KA37" s="230"/>
      <c r="KB37" s="230"/>
      <c r="KC37" s="230"/>
      <c r="KD37" s="230"/>
      <c r="KE37" s="230"/>
      <c r="KF37" s="230"/>
      <c r="KG37" s="230"/>
      <c r="KH37" s="230"/>
      <c r="KI37" s="230"/>
      <c r="KJ37" s="230"/>
      <c r="KK37" s="230"/>
      <c r="KL37" s="230"/>
      <c r="KM37" s="230"/>
      <c r="KN37" s="230"/>
      <c r="KO37" s="230"/>
      <c r="KP37" s="230"/>
      <c r="KQ37" s="230"/>
      <c r="KR37" s="230"/>
      <c r="KS37" s="230"/>
      <c r="KT37" s="230"/>
      <c r="KU37" s="230"/>
      <c r="KV37" s="230"/>
      <c r="KW37" s="230"/>
      <c r="KX37" s="230"/>
      <c r="KY37" s="230"/>
      <c r="KZ37" s="230"/>
      <c r="LA37" s="230"/>
      <c r="LB37" s="230"/>
      <c r="LC37" s="230"/>
      <c r="LD37" s="230"/>
      <c r="LE37" s="230"/>
      <c r="LF37" s="230"/>
      <c r="LG37" s="230"/>
      <c r="LH37" s="230"/>
      <c r="LI37" s="230"/>
      <c r="LJ37" s="230"/>
      <c r="LK37" s="230"/>
      <c r="LL37" s="230"/>
      <c r="LM37" s="230"/>
      <c r="LN37" s="230"/>
      <c r="LO37" s="230"/>
      <c r="LP37" s="230"/>
      <c r="LQ37" s="230"/>
      <c r="LR37" s="230"/>
      <c r="LS37" s="230"/>
      <c r="LT37" s="230"/>
      <c r="LU37" s="230"/>
      <c r="LV37" s="230"/>
      <c r="LW37" s="230"/>
      <c r="LX37" s="230"/>
      <c r="LY37" s="230"/>
      <c r="LZ37" s="230"/>
      <c r="MA37" s="230"/>
      <c r="MB37" s="230"/>
      <c r="MC37" s="230"/>
      <c r="MD37" s="230"/>
      <c r="ME37" s="230"/>
      <c r="MF37" s="230"/>
      <c r="MG37" s="230"/>
      <c r="MH37" s="230"/>
      <c r="MI37" s="230"/>
      <c r="MJ37" s="230"/>
      <c r="MK37" s="230"/>
      <c r="ML37" s="230"/>
      <c r="MM37" s="230"/>
      <c r="MN37" s="230"/>
      <c r="MO37" s="230"/>
      <c r="MP37" s="230"/>
      <c r="MQ37" s="230"/>
      <c r="MR37" s="230"/>
      <c r="MS37" s="230"/>
      <c r="MT37" s="230"/>
      <c r="MU37" s="230"/>
      <c r="MV37" s="230"/>
      <c r="MW37" s="230"/>
      <c r="MX37" s="230"/>
      <c r="MY37" s="230"/>
      <c r="MZ37" s="230"/>
      <c r="NA37" s="230"/>
      <c r="NB37" s="230"/>
      <c r="NC37" s="230"/>
      <c r="ND37" s="230"/>
      <c r="NE37" s="230"/>
    </row>
    <row r="38" spans="1:369" x14ac:dyDescent="0.2">
      <c r="A38" s="2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  <c r="BM38" s="76"/>
      <c r="BN38" s="76"/>
      <c r="BO38" s="76"/>
      <c r="BP38" s="76"/>
      <c r="BQ38" s="76"/>
      <c r="BR38" s="76"/>
      <c r="BS38" s="76"/>
      <c r="BT38" s="76"/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6"/>
      <c r="CF38" s="76"/>
      <c r="CG38" s="76"/>
      <c r="CH38" s="76"/>
      <c r="CI38" s="76"/>
      <c r="CJ38" s="76"/>
      <c r="CK38" s="76"/>
      <c r="CL38" s="76"/>
      <c r="CM38" s="76"/>
      <c r="CN38" s="76"/>
      <c r="CO38" s="76"/>
      <c r="CP38" s="76"/>
      <c r="CQ38" s="76"/>
      <c r="CR38" s="76"/>
      <c r="CS38" s="76"/>
      <c r="CT38" s="76"/>
      <c r="CU38" s="76"/>
      <c r="CV38" s="76"/>
      <c r="CW38" s="76"/>
      <c r="CX38" s="76"/>
      <c r="CY38" s="76"/>
      <c r="CZ38" s="76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6"/>
      <c r="DL38" s="76"/>
      <c r="DM38" s="76"/>
      <c r="DN38" s="76"/>
      <c r="DO38" s="76"/>
      <c r="DP38" s="76"/>
      <c r="DQ38" s="76"/>
      <c r="DR38" s="76"/>
      <c r="DS38" s="76"/>
      <c r="DT38" s="76"/>
      <c r="DU38" s="76"/>
      <c r="DV38" s="76"/>
      <c r="DW38" s="76"/>
      <c r="DX38" s="76"/>
      <c r="DY38" s="76"/>
      <c r="DZ38" s="76"/>
      <c r="EA38" s="76"/>
      <c r="EB38" s="76"/>
      <c r="EC38" s="76"/>
      <c r="ED38" s="76"/>
      <c r="EE38" s="76"/>
      <c r="EF38" s="76"/>
      <c r="EG38" s="76"/>
      <c r="EH38" s="76"/>
      <c r="EI38" s="76"/>
      <c r="EJ38" s="76"/>
      <c r="EK38" s="76"/>
      <c r="EL38" s="76"/>
      <c r="EM38" s="76"/>
      <c r="EN38" s="76"/>
      <c r="EO38" s="76"/>
      <c r="EP38" s="76"/>
      <c r="EQ38" s="76"/>
      <c r="ER38" s="76"/>
      <c r="ES38" s="76"/>
      <c r="ET38" s="76"/>
      <c r="EU38" s="76"/>
      <c r="EV38" s="76"/>
      <c r="EW38" s="76"/>
      <c r="EX38" s="76"/>
      <c r="EY38" s="76"/>
      <c r="EZ38" s="76"/>
      <c r="FA38" s="76"/>
      <c r="FB38" s="76"/>
      <c r="FC38" s="76"/>
      <c r="FD38" s="76"/>
      <c r="FE38" s="76"/>
      <c r="FF38" s="76"/>
      <c r="FG38" s="76"/>
      <c r="FH38" s="76"/>
      <c r="FI38" s="76"/>
      <c r="FJ38" s="76"/>
      <c r="FK38" s="76"/>
      <c r="FL38" s="76"/>
      <c r="FM38" s="76"/>
      <c r="FN38" s="76"/>
      <c r="FO38" s="76"/>
      <c r="FP38" s="76"/>
      <c r="FQ38" s="76"/>
      <c r="FR38" s="76"/>
      <c r="FS38" s="76"/>
      <c r="FT38" s="76"/>
      <c r="FU38" s="76"/>
      <c r="FV38" s="76"/>
      <c r="FW38" s="76"/>
      <c r="FX38" s="76"/>
      <c r="FY38" s="76"/>
      <c r="FZ38" s="76"/>
      <c r="GA38" s="76"/>
      <c r="GB38" s="76"/>
      <c r="GC38" s="76"/>
      <c r="GD38" s="76"/>
      <c r="GE38" s="76"/>
      <c r="GF38" s="76"/>
      <c r="GG38" s="76"/>
      <c r="GH38" s="76"/>
      <c r="GI38" s="76"/>
      <c r="GJ38" s="76"/>
      <c r="GK38" s="76"/>
      <c r="GL38" s="76"/>
      <c r="GM38" s="76"/>
      <c r="GN38" s="76"/>
      <c r="GO38" s="76"/>
      <c r="GP38" s="76"/>
      <c r="GQ38" s="76"/>
      <c r="GR38" s="76"/>
      <c r="GS38" s="76"/>
      <c r="GT38" s="76"/>
      <c r="GU38" s="76"/>
      <c r="GV38" s="76"/>
      <c r="GW38" s="76"/>
      <c r="GX38" s="76"/>
      <c r="GY38" s="76"/>
      <c r="GZ38" s="76"/>
      <c r="HA38" s="76"/>
      <c r="HB38" s="76"/>
      <c r="HC38" s="76"/>
      <c r="HD38" s="76"/>
      <c r="HE38" s="76"/>
      <c r="HF38" s="76"/>
      <c r="HG38" s="76"/>
      <c r="HH38" s="76"/>
      <c r="HI38" s="76"/>
      <c r="HJ38" s="76"/>
      <c r="HK38" s="76"/>
      <c r="HL38" s="76"/>
      <c r="HM38" s="76"/>
      <c r="HN38" s="76"/>
      <c r="HO38" s="76"/>
      <c r="HP38" s="76"/>
      <c r="HQ38" s="76"/>
      <c r="HR38" s="76"/>
      <c r="HS38" s="76"/>
      <c r="HT38" s="76"/>
      <c r="HU38" s="76"/>
      <c r="HV38" s="76"/>
      <c r="HW38" s="76"/>
      <c r="HX38" s="76"/>
      <c r="HY38" s="76"/>
      <c r="HZ38" s="76"/>
      <c r="IA38" s="76"/>
      <c r="IB38" s="76"/>
      <c r="IC38" s="76"/>
      <c r="ID38" s="76"/>
      <c r="IE38" s="76"/>
      <c r="IF38" s="76"/>
      <c r="IG38" s="76"/>
      <c r="IH38" s="76"/>
      <c r="II38" s="76"/>
      <c r="IJ38" s="76"/>
      <c r="IK38" s="76"/>
      <c r="IL38" s="76"/>
      <c r="IM38" s="76"/>
      <c r="IN38" s="76"/>
      <c r="IO38" s="76"/>
      <c r="IP38" s="76"/>
      <c r="IQ38" s="76"/>
      <c r="IR38" s="76"/>
      <c r="IS38" s="76"/>
      <c r="IT38" s="76"/>
      <c r="IU38" s="76"/>
      <c r="IV38" s="76"/>
      <c r="IW38" s="76"/>
      <c r="IX38" s="76"/>
      <c r="IY38" s="76"/>
      <c r="IZ38" s="76"/>
      <c r="JA38" s="76"/>
      <c r="JB38" s="76"/>
      <c r="JC38" s="76"/>
      <c r="JD38" s="76"/>
      <c r="JE38" s="76"/>
      <c r="JF38" s="76"/>
      <c r="JG38" s="76"/>
      <c r="JH38" s="76"/>
      <c r="JI38" s="76"/>
      <c r="JJ38" s="76"/>
      <c r="JK38" s="76"/>
      <c r="JL38" s="76"/>
      <c r="JM38" s="76"/>
      <c r="JN38" s="76"/>
      <c r="JO38" s="76"/>
      <c r="JP38" s="76"/>
      <c r="JQ38" s="76"/>
      <c r="JR38" s="76"/>
      <c r="JS38" s="76"/>
      <c r="JT38" s="76"/>
      <c r="JU38" s="76"/>
      <c r="JV38" s="76"/>
      <c r="JW38" s="76"/>
      <c r="JX38" s="76"/>
      <c r="JY38" s="76"/>
      <c r="JZ38" s="76"/>
      <c r="KA38" s="76"/>
      <c r="KB38" s="76"/>
      <c r="KC38" s="76"/>
      <c r="KD38" s="76"/>
      <c r="KE38" s="76"/>
      <c r="KF38" s="76"/>
      <c r="KG38" s="76"/>
      <c r="KH38" s="76"/>
      <c r="KI38" s="76"/>
      <c r="KJ38" s="76"/>
      <c r="KK38" s="76"/>
      <c r="KL38" s="76"/>
      <c r="KM38" s="76"/>
      <c r="KN38" s="76"/>
      <c r="KO38" s="76"/>
      <c r="KP38" s="76"/>
      <c r="KQ38" s="76"/>
      <c r="KR38" s="76"/>
      <c r="KS38" s="76"/>
      <c r="KT38" s="76"/>
      <c r="KU38" s="76"/>
      <c r="KV38" s="76"/>
      <c r="KW38" s="76"/>
      <c r="KX38" s="76"/>
      <c r="KY38" s="76"/>
      <c r="KZ38" s="76"/>
      <c r="LA38" s="76"/>
      <c r="LB38" s="76"/>
      <c r="LC38" s="76"/>
      <c r="LD38" s="76"/>
      <c r="LE38" s="76"/>
      <c r="LF38" s="76"/>
      <c r="LG38" s="76"/>
      <c r="LH38" s="76"/>
      <c r="LI38" s="76"/>
      <c r="LJ38" s="76"/>
      <c r="LK38" s="76"/>
      <c r="LL38" s="76"/>
      <c r="LM38" s="76"/>
      <c r="LN38" s="76"/>
      <c r="LO38" s="76"/>
      <c r="LP38" s="76"/>
      <c r="LQ38" s="76"/>
      <c r="LR38" s="76"/>
      <c r="LS38" s="76"/>
      <c r="LT38" s="76"/>
      <c r="LU38" s="76"/>
      <c r="LV38" s="76"/>
      <c r="LW38" s="76"/>
      <c r="LX38" s="76"/>
      <c r="LY38" s="76"/>
      <c r="LZ38" s="76"/>
      <c r="MA38" s="76"/>
      <c r="MB38" s="76"/>
      <c r="MC38" s="76"/>
      <c r="MD38" s="76"/>
      <c r="ME38" s="76"/>
      <c r="MF38" s="76"/>
      <c r="MG38" s="76"/>
      <c r="MH38" s="76"/>
      <c r="MI38" s="76"/>
      <c r="MJ38" s="76"/>
      <c r="MK38" s="76"/>
      <c r="ML38" s="76"/>
      <c r="MM38" s="76"/>
      <c r="MN38" s="76"/>
      <c r="MO38" s="76"/>
      <c r="MP38" s="76"/>
      <c r="MQ38" s="76"/>
      <c r="MR38" s="76"/>
      <c r="MS38" s="76"/>
      <c r="MT38" s="76"/>
      <c r="MU38" s="76"/>
      <c r="MV38" s="76"/>
      <c r="MW38" s="76"/>
      <c r="MX38" s="76"/>
      <c r="MY38" s="76"/>
      <c r="MZ38" s="76"/>
      <c r="NA38" s="76"/>
      <c r="NB38" s="76"/>
      <c r="NC38" s="76"/>
      <c r="ND38" s="76"/>
      <c r="NE38" s="76"/>
    </row>
    <row r="39" spans="1:369" ht="16" thickBot="1" x14ac:dyDescent="0.25">
      <c r="A39" s="2"/>
      <c r="B39" s="7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</row>
    <row r="40" spans="1:369" x14ac:dyDescent="0.2">
      <c r="A40" s="19" t="s">
        <v>24</v>
      </c>
      <c r="B40" s="217"/>
      <c r="C40" s="136" t="str">
        <f>IF(C9=0," ",(C14+C20+C26+C30+C32+C34)/C9)</f>
        <v xml:space="preserve"> </v>
      </c>
      <c r="D40" s="136">
        <f t="shared" ref="D40" si="8">IF(D9=0," ",(D14+D20+D26+D30+D32+D34)/D9)</f>
        <v>0.32113259668508287</v>
      </c>
      <c r="E40" s="136" t="str">
        <f>IF(E9=0," ",(E14+E20+E26+E30+E32+E34)/E9)</f>
        <v xml:space="preserve"> </v>
      </c>
      <c r="F40" s="136" t="str">
        <f t="shared" ref="F40:BQ40" si="9">IF(F9=0," ",(F14+F20+F26+F30+F32+F34)/F9)</f>
        <v xml:space="preserve"> </v>
      </c>
      <c r="G40" s="136" t="str">
        <f t="shared" si="9"/>
        <v xml:space="preserve"> </v>
      </c>
      <c r="H40" s="136" t="str">
        <f t="shared" si="9"/>
        <v xml:space="preserve"> </v>
      </c>
      <c r="I40" s="136" t="str">
        <f t="shared" si="9"/>
        <v xml:space="preserve"> </v>
      </c>
      <c r="J40" s="136">
        <f t="shared" si="9"/>
        <v>0.36945031712473575</v>
      </c>
      <c r="K40" s="136">
        <f t="shared" si="9"/>
        <v>0.34602570204664446</v>
      </c>
      <c r="L40" s="136">
        <f t="shared" si="9"/>
        <v>0.34360625574977</v>
      </c>
      <c r="M40" s="136">
        <f t="shared" si="9"/>
        <v>0.34402764067127345</v>
      </c>
      <c r="N40" s="136">
        <f t="shared" si="9"/>
        <v>0.40871021775544386</v>
      </c>
      <c r="O40" s="136" t="str">
        <f t="shared" si="9"/>
        <v xml:space="preserve"> </v>
      </c>
      <c r="P40" s="136" t="str">
        <f t="shared" si="9"/>
        <v xml:space="preserve"> </v>
      </c>
      <c r="Q40" s="136">
        <f t="shared" si="9"/>
        <v>0.36740331491712708</v>
      </c>
      <c r="R40" s="136">
        <f t="shared" si="9"/>
        <v>0.38922484881803188</v>
      </c>
      <c r="S40" s="136">
        <f t="shared" si="9"/>
        <v>0.36501516683518703</v>
      </c>
      <c r="T40" s="136">
        <f t="shared" si="9"/>
        <v>0.3554913294797688</v>
      </c>
      <c r="U40" s="136">
        <f t="shared" si="9"/>
        <v>0.35046012269938648</v>
      </c>
      <c r="V40" s="136" t="str">
        <f t="shared" si="9"/>
        <v xml:space="preserve"> </v>
      </c>
      <c r="W40" s="136" t="str">
        <f t="shared" si="9"/>
        <v xml:space="preserve"> </v>
      </c>
      <c r="X40" s="136">
        <f t="shared" si="9"/>
        <v>0.36838709677419357</v>
      </c>
      <c r="Y40" s="136">
        <f t="shared" si="9"/>
        <v>0.31955762514551805</v>
      </c>
      <c r="Z40" s="136">
        <f t="shared" si="9"/>
        <v>0.38233397807865893</v>
      </c>
      <c r="AA40" s="136">
        <f t="shared" si="9"/>
        <v>0.37313432835820898</v>
      </c>
      <c r="AB40" s="136">
        <f t="shared" si="9"/>
        <v>0.37966417910447764</v>
      </c>
      <c r="AC40" s="136" t="str">
        <f t="shared" si="9"/>
        <v xml:space="preserve"> </v>
      </c>
      <c r="AD40" s="136" t="str">
        <f t="shared" si="9"/>
        <v xml:space="preserve"> </v>
      </c>
      <c r="AE40" s="136">
        <f t="shared" si="9"/>
        <v>0.36399999999999999</v>
      </c>
      <c r="AF40" s="136">
        <f t="shared" si="9"/>
        <v>0.38</v>
      </c>
      <c r="AG40" s="136">
        <f t="shared" si="9"/>
        <v>0.376</v>
      </c>
      <c r="AH40" s="136">
        <f t="shared" si="9"/>
        <v>0.36807511737089205</v>
      </c>
      <c r="AI40" s="136">
        <f t="shared" si="9"/>
        <v>0.37545454545454543</v>
      </c>
      <c r="AJ40" s="136" t="str">
        <f t="shared" si="9"/>
        <v xml:space="preserve"> </v>
      </c>
      <c r="AK40" s="136" t="str">
        <f t="shared" si="9"/>
        <v xml:space="preserve"> </v>
      </c>
      <c r="AL40" s="136">
        <f t="shared" si="9"/>
        <v>0.3902439024390244</v>
      </c>
      <c r="AM40" s="136">
        <f t="shared" si="9"/>
        <v>0.38084953203743699</v>
      </c>
      <c r="AN40" s="136">
        <f t="shared" si="9"/>
        <v>0.40310711365494684</v>
      </c>
      <c r="AO40" s="136">
        <f t="shared" si="9"/>
        <v>0.39512195121951221</v>
      </c>
      <c r="AP40" s="136">
        <f>IF(AP9=0," ",(AP14+AP21+AP26+AP30+AP32+AP34)/AP9)</f>
        <v>0.3927272727272727</v>
      </c>
      <c r="AQ40" s="136" t="str">
        <f t="shared" si="9"/>
        <v xml:space="preserve"> </v>
      </c>
      <c r="AR40" s="136" t="str">
        <f t="shared" si="9"/>
        <v xml:space="preserve"> </v>
      </c>
      <c r="AS40" s="136">
        <f t="shared" si="9"/>
        <v>0.36249999999999999</v>
      </c>
      <c r="AT40" s="136">
        <f t="shared" si="9"/>
        <v>0.40100430416068866</v>
      </c>
      <c r="AU40" s="136">
        <f t="shared" si="9"/>
        <v>0.37543859649122807</v>
      </c>
      <c r="AV40" s="136">
        <f t="shared" si="9"/>
        <v>0.38210116731517507</v>
      </c>
      <c r="AW40" s="136">
        <f t="shared" si="9"/>
        <v>0.41969696969696968</v>
      </c>
      <c r="AX40" s="136" t="str">
        <f t="shared" si="9"/>
        <v xml:space="preserve"> </v>
      </c>
      <c r="AY40" s="136" t="str">
        <f t="shared" si="9"/>
        <v xml:space="preserve"> </v>
      </c>
      <c r="AZ40" s="136">
        <f t="shared" si="9"/>
        <v>0.4</v>
      </c>
      <c r="BA40" s="136">
        <f t="shared" si="9"/>
        <v>0.40391254315304947</v>
      </c>
      <c r="BB40" s="136">
        <f t="shared" si="9"/>
        <v>0.39483394833948338</v>
      </c>
      <c r="BC40" s="136">
        <f t="shared" si="9"/>
        <v>0.38130381303813038</v>
      </c>
      <c r="BD40" s="136">
        <f t="shared" si="9"/>
        <v>0.38170974155069581</v>
      </c>
      <c r="BE40" s="136" t="str">
        <f t="shared" si="9"/>
        <v xml:space="preserve"> </v>
      </c>
      <c r="BF40" s="136" t="str">
        <f t="shared" si="9"/>
        <v xml:space="preserve"> </v>
      </c>
      <c r="BG40" s="136" t="str">
        <f t="shared" si="9"/>
        <v xml:space="preserve"> </v>
      </c>
      <c r="BH40" s="136">
        <f t="shared" si="9"/>
        <v>0.39666666666666667</v>
      </c>
      <c r="BI40" s="136">
        <f t="shared" si="9"/>
        <v>0.36214285714285716</v>
      </c>
      <c r="BJ40" s="136">
        <f t="shared" si="9"/>
        <v>0.38939519469759737</v>
      </c>
      <c r="BK40" s="136">
        <f t="shared" si="9"/>
        <v>0.38815789473684209</v>
      </c>
      <c r="BL40" s="136" t="str">
        <f t="shared" si="9"/>
        <v xml:space="preserve"> </v>
      </c>
      <c r="BM40" s="136" t="str">
        <f t="shared" si="9"/>
        <v xml:space="preserve"> </v>
      </c>
      <c r="BN40" s="136" t="str">
        <f t="shared" si="9"/>
        <v xml:space="preserve"> </v>
      </c>
      <c r="BO40" s="136">
        <f t="shared" si="9"/>
        <v>0.37629350893697083</v>
      </c>
      <c r="BP40" s="136" t="str">
        <f t="shared" si="9"/>
        <v xml:space="preserve"> </v>
      </c>
      <c r="BQ40" s="136">
        <f t="shared" si="9"/>
        <v>0.38861788617886178</v>
      </c>
      <c r="BR40" s="136">
        <f t="shared" ref="BR40:EC40" si="10">IF(BR9=0," ",(BR14+BR20+BR26+BR30+BR32+BR34)/BR9)</f>
        <v>0.38166666666666665</v>
      </c>
      <c r="BS40" s="136" t="str">
        <f t="shared" si="10"/>
        <v xml:space="preserve"> </v>
      </c>
      <c r="BT40" s="136" t="str">
        <f t="shared" si="10"/>
        <v xml:space="preserve"> </v>
      </c>
      <c r="BU40" s="136">
        <f t="shared" si="10"/>
        <v>0.37166666666666665</v>
      </c>
      <c r="BV40" s="136">
        <f t="shared" si="10"/>
        <v>0.37752808988764047</v>
      </c>
      <c r="BW40" s="136">
        <f t="shared" si="10"/>
        <v>0.39090909090909093</v>
      </c>
      <c r="BX40" s="136" t="str">
        <f t="shared" si="10"/>
        <v xml:space="preserve"> </v>
      </c>
      <c r="BY40" s="136">
        <f t="shared" si="10"/>
        <v>0.40083333333333332</v>
      </c>
      <c r="BZ40" s="136" t="str">
        <f t="shared" si="10"/>
        <v xml:space="preserve"> </v>
      </c>
      <c r="CA40" s="136" t="str">
        <f t="shared" si="10"/>
        <v xml:space="preserve"> </v>
      </c>
      <c r="CB40" s="136">
        <f t="shared" si="10"/>
        <v>0.38</v>
      </c>
      <c r="CC40" s="136">
        <f t="shared" si="10"/>
        <v>0.40272727272727271</v>
      </c>
      <c r="CD40" s="136">
        <f t="shared" si="10"/>
        <v>0.40909090909090912</v>
      </c>
      <c r="CE40" s="136">
        <f t="shared" si="10"/>
        <v>0.39144385026737966</v>
      </c>
      <c r="CF40" s="136" t="str">
        <f t="shared" si="10"/>
        <v xml:space="preserve"> </v>
      </c>
      <c r="CG40" s="136" t="str">
        <f t="shared" si="10"/>
        <v xml:space="preserve"> </v>
      </c>
      <c r="CH40" s="136" t="str">
        <f t="shared" si="10"/>
        <v xml:space="preserve"> </v>
      </c>
      <c r="CI40" s="136">
        <f t="shared" si="10"/>
        <v>0.40482954545454547</v>
      </c>
      <c r="CJ40" s="136">
        <f t="shared" si="10"/>
        <v>0.41116751269035534</v>
      </c>
      <c r="CK40" s="136" t="str">
        <f t="shared" si="10"/>
        <v xml:space="preserve"> </v>
      </c>
      <c r="CL40" s="136">
        <f t="shared" si="10"/>
        <v>0.38820101966496723</v>
      </c>
      <c r="CM40" s="136" t="str">
        <f t="shared" si="10"/>
        <v xml:space="preserve"> </v>
      </c>
      <c r="CN40" s="136" t="str">
        <f t="shared" si="10"/>
        <v xml:space="preserve"> </v>
      </c>
      <c r="CO40" s="136" t="str">
        <f t="shared" si="10"/>
        <v xml:space="preserve"> </v>
      </c>
      <c r="CP40" s="136">
        <f t="shared" si="10"/>
        <v>0.40257510729613732</v>
      </c>
      <c r="CQ40" s="136" t="str">
        <f t="shared" si="10"/>
        <v xml:space="preserve"> </v>
      </c>
      <c r="CR40" s="136">
        <f t="shared" si="10"/>
        <v>0.39933774834437086</v>
      </c>
      <c r="CS40" s="136">
        <f t="shared" si="10"/>
        <v>0.40236686390532544</v>
      </c>
      <c r="CT40" s="136" t="str">
        <f t="shared" si="10"/>
        <v xml:space="preserve"> </v>
      </c>
      <c r="CU40" s="136" t="str">
        <f t="shared" si="10"/>
        <v xml:space="preserve"> </v>
      </c>
      <c r="CV40" s="136" t="str">
        <f t="shared" si="10"/>
        <v xml:space="preserve"> </v>
      </c>
      <c r="CW40" s="136">
        <f t="shared" si="10"/>
        <v>0.37945791726105566</v>
      </c>
      <c r="CX40" s="136">
        <f t="shared" si="10"/>
        <v>0.47</v>
      </c>
      <c r="CY40" s="136" t="str">
        <f t="shared" si="10"/>
        <v xml:space="preserve"> </v>
      </c>
      <c r="CZ40" s="136">
        <f t="shared" si="10"/>
        <v>0.40134529147982062</v>
      </c>
      <c r="DA40" s="136">
        <f t="shared" si="10"/>
        <v>0.3922018348623853</v>
      </c>
      <c r="DB40" s="136" t="str">
        <f t="shared" si="10"/>
        <v xml:space="preserve"> </v>
      </c>
      <c r="DC40" s="136" t="str">
        <f t="shared" si="10"/>
        <v xml:space="preserve"> </v>
      </c>
      <c r="DD40" s="136" t="str">
        <f t="shared" si="10"/>
        <v xml:space="preserve"> </v>
      </c>
      <c r="DE40" s="136">
        <f t="shared" si="10"/>
        <v>0.40241635687732341</v>
      </c>
      <c r="DF40" s="136" t="str">
        <f t="shared" si="10"/>
        <v xml:space="preserve"> </v>
      </c>
      <c r="DG40" s="136">
        <f t="shared" si="10"/>
        <v>0.39243498817966904</v>
      </c>
      <c r="DH40" s="136">
        <f t="shared" si="10"/>
        <v>0.38124999999999998</v>
      </c>
      <c r="DI40" s="136" t="str">
        <f>IF(DI9=0," ",(DI14+DI19+DI26+DI30+DI32+DI34)/DI9)</f>
        <v xml:space="preserve"> </v>
      </c>
      <c r="DJ40" s="136" t="str">
        <f t="shared" si="10"/>
        <v xml:space="preserve"> </v>
      </c>
      <c r="DK40" s="136">
        <f t="shared" si="10"/>
        <v>0.37931034482758619</v>
      </c>
      <c r="DL40" s="136" t="str">
        <f t="shared" si="10"/>
        <v xml:space="preserve"> </v>
      </c>
      <c r="DM40" s="136">
        <f t="shared" si="10"/>
        <v>0.37831325301204821</v>
      </c>
      <c r="DN40" s="136" t="str">
        <f t="shared" si="10"/>
        <v xml:space="preserve"> </v>
      </c>
      <c r="DO40" s="136" t="str">
        <f t="shared" si="10"/>
        <v xml:space="preserve"> </v>
      </c>
      <c r="DP40" s="136" t="str">
        <f t="shared" si="10"/>
        <v xml:space="preserve"> </v>
      </c>
      <c r="DQ40" s="136" t="str">
        <f t="shared" si="10"/>
        <v xml:space="preserve"> </v>
      </c>
      <c r="DR40" s="136">
        <f t="shared" si="10"/>
        <v>0.36818181818181817</v>
      </c>
      <c r="DS40" s="136" t="str">
        <f t="shared" si="10"/>
        <v xml:space="preserve"> </v>
      </c>
      <c r="DT40" s="136">
        <f t="shared" si="10"/>
        <v>0.39232409381663114</v>
      </c>
      <c r="DU40" s="136" t="str">
        <f t="shared" si="10"/>
        <v xml:space="preserve"> </v>
      </c>
      <c r="DV40" s="136" t="str">
        <f t="shared" si="10"/>
        <v xml:space="preserve"> </v>
      </c>
      <c r="DW40" s="136" t="str">
        <f t="shared" si="10"/>
        <v xml:space="preserve"> </v>
      </c>
      <c r="DX40" s="136" t="str">
        <f t="shared" si="10"/>
        <v xml:space="preserve"> </v>
      </c>
      <c r="DY40" s="136">
        <f t="shared" si="10"/>
        <v>0.36923076923076925</v>
      </c>
      <c r="DZ40" s="136" t="str">
        <f t="shared" si="10"/>
        <v xml:space="preserve"> </v>
      </c>
      <c r="EA40" s="136">
        <f t="shared" si="10"/>
        <v>0.35185185185185186</v>
      </c>
      <c r="EB40" s="136" t="str">
        <f t="shared" si="10"/>
        <v xml:space="preserve"> </v>
      </c>
      <c r="EC40" s="136">
        <f t="shared" si="10"/>
        <v>0.37931034482758619</v>
      </c>
      <c r="ED40" s="136" t="str">
        <f t="shared" ref="ED40:GO40" si="11">IF(ED9=0," ",(ED14+ED20+ED26+ED30+ED32+ED34)/ED9)</f>
        <v xml:space="preserve"> </v>
      </c>
      <c r="EE40" s="136" t="str">
        <f t="shared" si="11"/>
        <v xml:space="preserve"> </v>
      </c>
      <c r="EF40" s="136" t="str">
        <f t="shared" si="11"/>
        <v xml:space="preserve"> </v>
      </c>
      <c r="EG40" s="136">
        <f t="shared" si="11"/>
        <v>0.29055690072639223</v>
      </c>
      <c r="EH40" s="136" t="str">
        <f t="shared" si="11"/>
        <v xml:space="preserve"> </v>
      </c>
      <c r="EI40" s="136" t="str">
        <f t="shared" si="11"/>
        <v xml:space="preserve"> </v>
      </c>
      <c r="EJ40" s="136">
        <f t="shared" si="11"/>
        <v>0.37015503875968991</v>
      </c>
      <c r="EK40" s="136" t="str">
        <f t="shared" si="11"/>
        <v xml:space="preserve"> </v>
      </c>
      <c r="EL40" s="136" t="str">
        <f t="shared" si="11"/>
        <v xml:space="preserve"> </v>
      </c>
      <c r="EM40" s="136">
        <f t="shared" si="11"/>
        <v>0.36188436830835119</v>
      </c>
      <c r="EN40" s="136" t="str">
        <f t="shared" si="11"/>
        <v xml:space="preserve"> </v>
      </c>
      <c r="EO40" s="136">
        <f t="shared" si="11"/>
        <v>0.35751295336787564</v>
      </c>
      <c r="EP40" s="136" t="str">
        <f t="shared" si="11"/>
        <v xml:space="preserve"> </v>
      </c>
      <c r="EQ40" s="136" t="str">
        <f t="shared" si="11"/>
        <v xml:space="preserve"> </v>
      </c>
      <c r="ER40" s="136" t="str">
        <f t="shared" si="11"/>
        <v xml:space="preserve"> </v>
      </c>
      <c r="ES40" s="136" t="str">
        <f t="shared" si="11"/>
        <v xml:space="preserve"> </v>
      </c>
      <c r="ET40" s="136">
        <f t="shared" si="11"/>
        <v>0.37350993377483444</v>
      </c>
      <c r="EU40" s="136" t="str">
        <f t="shared" si="11"/>
        <v xml:space="preserve"> </v>
      </c>
      <c r="EV40" s="136">
        <f t="shared" si="11"/>
        <v>0.37574552683896623</v>
      </c>
      <c r="EW40" s="136" t="str">
        <f t="shared" si="11"/>
        <v xml:space="preserve"> </v>
      </c>
      <c r="EX40" s="136">
        <f t="shared" si="11"/>
        <v>0.33374384236453203</v>
      </c>
      <c r="EY40" s="136" t="str">
        <f t="shared" si="11"/>
        <v xml:space="preserve"> </v>
      </c>
      <c r="EZ40" s="136" t="str">
        <f t="shared" si="11"/>
        <v xml:space="preserve"> </v>
      </c>
      <c r="FA40" s="136">
        <f t="shared" si="11"/>
        <v>0.35338345864661652</v>
      </c>
      <c r="FB40" s="136" t="str">
        <f>IF(FB9=0," ",(FB14+FB20+FB26+FB30+FB32+FB34)/FB9)</f>
        <v xml:space="preserve"> </v>
      </c>
      <c r="FC40" s="136">
        <f t="shared" si="11"/>
        <v>0.37901498929336186</v>
      </c>
      <c r="FD40" s="136">
        <f t="shared" si="11"/>
        <v>0.35100117785630153</v>
      </c>
      <c r="FE40" s="136" t="str">
        <f t="shared" si="11"/>
        <v xml:space="preserve"> </v>
      </c>
      <c r="FF40" s="136" t="str">
        <f t="shared" si="11"/>
        <v xml:space="preserve"> </v>
      </c>
      <c r="FG40" s="136" t="str">
        <f t="shared" si="11"/>
        <v xml:space="preserve"> </v>
      </c>
      <c r="FH40" s="136">
        <f t="shared" si="11"/>
        <v>0.35199999999999998</v>
      </c>
      <c r="FI40" s="136">
        <f t="shared" si="11"/>
        <v>0.36629213483146067</v>
      </c>
      <c r="FJ40" s="136">
        <f t="shared" si="11"/>
        <v>0.36496980155306297</v>
      </c>
      <c r="FK40" s="136">
        <f t="shared" si="11"/>
        <v>0.36761229314420801</v>
      </c>
      <c r="FL40" s="136" t="str">
        <f t="shared" si="11"/>
        <v xml:space="preserve"> </v>
      </c>
      <c r="FM40" s="136" t="str">
        <f t="shared" si="11"/>
        <v xml:space="preserve"> </v>
      </c>
      <c r="FN40" s="136" t="str">
        <f t="shared" si="11"/>
        <v xml:space="preserve"> </v>
      </c>
      <c r="FO40" s="136" t="str">
        <f t="shared" si="11"/>
        <v xml:space="preserve"> </v>
      </c>
      <c r="FP40" s="136" t="str">
        <f t="shared" si="11"/>
        <v xml:space="preserve"> </v>
      </c>
      <c r="FQ40" s="136" t="str">
        <f t="shared" si="11"/>
        <v xml:space="preserve"> </v>
      </c>
      <c r="FR40" s="136" t="str">
        <f t="shared" si="11"/>
        <v xml:space="preserve"> </v>
      </c>
      <c r="FS40" s="136" t="str">
        <f t="shared" si="11"/>
        <v xml:space="preserve"> </v>
      </c>
      <c r="FT40" s="136" t="str">
        <f t="shared" si="11"/>
        <v xml:space="preserve"> </v>
      </c>
      <c r="FU40" s="136" t="str">
        <f t="shared" si="11"/>
        <v xml:space="preserve"> </v>
      </c>
      <c r="FV40" s="136" t="str">
        <f t="shared" si="11"/>
        <v xml:space="preserve"> </v>
      </c>
      <c r="FW40" s="136" t="str">
        <f t="shared" si="11"/>
        <v xml:space="preserve"> </v>
      </c>
      <c r="FX40" s="136" t="str">
        <f t="shared" si="11"/>
        <v xml:space="preserve"> </v>
      </c>
      <c r="FY40" s="136" t="str">
        <f t="shared" si="11"/>
        <v xml:space="preserve"> </v>
      </c>
      <c r="FZ40" s="136" t="str">
        <f t="shared" si="11"/>
        <v xml:space="preserve"> </v>
      </c>
      <c r="GA40" s="136" t="str">
        <f t="shared" si="11"/>
        <v xml:space="preserve"> </v>
      </c>
      <c r="GB40" s="136" t="str">
        <f t="shared" si="11"/>
        <v xml:space="preserve"> </v>
      </c>
      <c r="GC40" s="136" t="str">
        <f t="shared" si="11"/>
        <v xml:space="preserve"> </v>
      </c>
      <c r="GD40" s="136" t="str">
        <f t="shared" si="11"/>
        <v xml:space="preserve"> </v>
      </c>
      <c r="GE40" s="136" t="str">
        <f t="shared" si="11"/>
        <v xml:space="preserve"> </v>
      </c>
      <c r="GF40" s="136" t="str">
        <f t="shared" si="11"/>
        <v xml:space="preserve"> </v>
      </c>
      <c r="GG40" s="136" t="str">
        <f t="shared" si="11"/>
        <v xml:space="preserve"> </v>
      </c>
      <c r="GH40" s="136" t="str">
        <f t="shared" si="11"/>
        <v xml:space="preserve"> </v>
      </c>
      <c r="GI40" s="136" t="str">
        <f t="shared" si="11"/>
        <v xml:space="preserve"> </v>
      </c>
      <c r="GJ40" s="136" t="str">
        <f t="shared" si="11"/>
        <v xml:space="preserve"> </v>
      </c>
      <c r="GK40" s="136" t="str">
        <f t="shared" si="11"/>
        <v xml:space="preserve"> </v>
      </c>
      <c r="GL40" s="136" t="str">
        <f t="shared" si="11"/>
        <v xml:space="preserve"> </v>
      </c>
      <c r="GM40" s="136" t="str">
        <f t="shared" si="11"/>
        <v xml:space="preserve"> </v>
      </c>
      <c r="GN40" s="136" t="str">
        <f t="shared" si="11"/>
        <v xml:space="preserve"> </v>
      </c>
      <c r="GO40" s="136" t="str">
        <f t="shared" si="11"/>
        <v xml:space="preserve"> </v>
      </c>
      <c r="GP40" s="136" t="str">
        <f t="shared" ref="GP40:JA40" si="12">IF(GP9=0," ",(GP14+GP20+GP26+GP30+GP32+GP34)/GP9)</f>
        <v xml:space="preserve"> </v>
      </c>
      <c r="GQ40" s="136" t="str">
        <f t="shared" si="12"/>
        <v xml:space="preserve"> </v>
      </c>
      <c r="GR40" s="136" t="str">
        <f t="shared" si="12"/>
        <v xml:space="preserve"> </v>
      </c>
      <c r="GS40" s="136" t="str">
        <f t="shared" si="12"/>
        <v xml:space="preserve"> </v>
      </c>
      <c r="GT40" s="136" t="str">
        <f t="shared" si="12"/>
        <v xml:space="preserve"> </v>
      </c>
      <c r="GU40" s="136" t="str">
        <f t="shared" si="12"/>
        <v xml:space="preserve"> </v>
      </c>
      <c r="GV40" s="136" t="str">
        <f t="shared" si="12"/>
        <v xml:space="preserve"> </v>
      </c>
      <c r="GW40" s="136" t="str">
        <f t="shared" si="12"/>
        <v xml:space="preserve"> </v>
      </c>
      <c r="GX40" s="136" t="str">
        <f t="shared" si="12"/>
        <v xml:space="preserve"> </v>
      </c>
      <c r="GY40" s="136" t="str">
        <f t="shared" si="12"/>
        <v xml:space="preserve"> </v>
      </c>
      <c r="GZ40" s="136" t="str">
        <f t="shared" si="12"/>
        <v xml:space="preserve"> </v>
      </c>
      <c r="HA40" s="136" t="str">
        <f t="shared" si="12"/>
        <v xml:space="preserve"> </v>
      </c>
      <c r="HB40" s="136" t="str">
        <f t="shared" si="12"/>
        <v xml:space="preserve"> </v>
      </c>
      <c r="HC40" s="136" t="str">
        <f t="shared" si="12"/>
        <v xml:space="preserve"> </v>
      </c>
      <c r="HD40" s="136" t="str">
        <f t="shared" si="12"/>
        <v xml:space="preserve"> </v>
      </c>
      <c r="HE40" s="136" t="str">
        <f t="shared" si="12"/>
        <v xml:space="preserve"> </v>
      </c>
      <c r="HF40" s="136" t="str">
        <f t="shared" si="12"/>
        <v xml:space="preserve"> </v>
      </c>
      <c r="HG40" s="136" t="str">
        <f t="shared" si="12"/>
        <v xml:space="preserve"> </v>
      </c>
      <c r="HH40" s="136" t="str">
        <f t="shared" si="12"/>
        <v xml:space="preserve"> </v>
      </c>
      <c r="HI40" s="136" t="str">
        <f t="shared" si="12"/>
        <v xml:space="preserve"> </v>
      </c>
      <c r="HJ40" s="136" t="str">
        <f t="shared" si="12"/>
        <v xml:space="preserve"> </v>
      </c>
      <c r="HK40" s="136" t="str">
        <f t="shared" si="12"/>
        <v xml:space="preserve"> </v>
      </c>
      <c r="HL40" s="136" t="str">
        <f t="shared" si="12"/>
        <v xml:space="preserve"> </v>
      </c>
      <c r="HM40" s="136" t="str">
        <f t="shared" si="12"/>
        <v xml:space="preserve"> </v>
      </c>
      <c r="HN40" s="136" t="str">
        <f t="shared" si="12"/>
        <v xml:space="preserve"> </v>
      </c>
      <c r="HO40" s="136" t="str">
        <f t="shared" si="12"/>
        <v xml:space="preserve"> </v>
      </c>
      <c r="HP40" s="136" t="str">
        <f t="shared" si="12"/>
        <v xml:space="preserve"> </v>
      </c>
      <c r="HQ40" s="136" t="str">
        <f t="shared" si="12"/>
        <v xml:space="preserve"> </v>
      </c>
      <c r="HR40" s="136" t="str">
        <f t="shared" si="12"/>
        <v xml:space="preserve"> </v>
      </c>
      <c r="HS40" s="136" t="str">
        <f t="shared" si="12"/>
        <v xml:space="preserve"> </v>
      </c>
      <c r="HT40" s="136" t="str">
        <f t="shared" si="12"/>
        <v xml:space="preserve"> </v>
      </c>
      <c r="HU40" s="136" t="str">
        <f t="shared" si="12"/>
        <v xml:space="preserve"> </v>
      </c>
      <c r="HV40" s="136" t="str">
        <f t="shared" si="12"/>
        <v xml:space="preserve"> </v>
      </c>
      <c r="HW40" s="136" t="str">
        <f t="shared" si="12"/>
        <v xml:space="preserve"> </v>
      </c>
      <c r="HX40" s="136" t="str">
        <f t="shared" si="12"/>
        <v xml:space="preserve"> </v>
      </c>
      <c r="HY40" s="136" t="str">
        <f t="shared" si="12"/>
        <v xml:space="preserve"> </v>
      </c>
      <c r="HZ40" s="136" t="str">
        <f t="shared" si="12"/>
        <v xml:space="preserve"> </v>
      </c>
      <c r="IA40" s="136" t="str">
        <f t="shared" si="12"/>
        <v xml:space="preserve"> </v>
      </c>
      <c r="IB40" s="136" t="str">
        <f t="shared" si="12"/>
        <v xml:space="preserve"> </v>
      </c>
      <c r="IC40" s="136" t="str">
        <f t="shared" si="12"/>
        <v xml:space="preserve"> </v>
      </c>
      <c r="ID40" s="136" t="str">
        <f t="shared" si="12"/>
        <v xml:space="preserve"> </v>
      </c>
      <c r="IE40" s="136" t="str">
        <f t="shared" si="12"/>
        <v xml:space="preserve"> </v>
      </c>
      <c r="IF40" s="136" t="str">
        <f t="shared" si="12"/>
        <v xml:space="preserve"> </v>
      </c>
      <c r="IG40" s="136" t="str">
        <f t="shared" si="12"/>
        <v xml:space="preserve"> </v>
      </c>
      <c r="IH40" s="136" t="str">
        <f t="shared" si="12"/>
        <v xml:space="preserve"> </v>
      </c>
      <c r="II40" s="136" t="str">
        <f t="shared" si="12"/>
        <v xml:space="preserve"> </v>
      </c>
      <c r="IJ40" s="136" t="str">
        <f t="shared" si="12"/>
        <v xml:space="preserve"> </v>
      </c>
      <c r="IK40" s="136" t="str">
        <f t="shared" si="12"/>
        <v xml:space="preserve"> </v>
      </c>
      <c r="IL40" s="136" t="str">
        <f t="shared" si="12"/>
        <v xml:space="preserve"> </v>
      </c>
      <c r="IM40" s="136" t="str">
        <f t="shared" si="12"/>
        <v xml:space="preserve"> </v>
      </c>
      <c r="IN40" s="136" t="str">
        <f t="shared" si="12"/>
        <v xml:space="preserve"> </v>
      </c>
      <c r="IO40" s="136" t="str">
        <f t="shared" si="12"/>
        <v xml:space="preserve"> </v>
      </c>
      <c r="IP40" s="136" t="str">
        <f t="shared" si="12"/>
        <v xml:space="preserve"> </v>
      </c>
      <c r="IQ40" s="136" t="str">
        <f t="shared" si="12"/>
        <v xml:space="preserve"> </v>
      </c>
      <c r="IR40" s="136" t="str">
        <f t="shared" si="12"/>
        <v xml:space="preserve"> </v>
      </c>
      <c r="IS40" s="136" t="str">
        <f t="shared" si="12"/>
        <v xml:space="preserve"> </v>
      </c>
      <c r="IT40" s="136" t="str">
        <f t="shared" si="12"/>
        <v xml:space="preserve"> </v>
      </c>
      <c r="IU40" s="136" t="str">
        <f t="shared" si="12"/>
        <v xml:space="preserve"> </v>
      </c>
      <c r="IV40" s="136" t="str">
        <f t="shared" si="12"/>
        <v xml:space="preserve"> </v>
      </c>
      <c r="IW40" s="136" t="str">
        <f t="shared" si="12"/>
        <v xml:space="preserve"> </v>
      </c>
      <c r="IX40" s="136" t="str">
        <f t="shared" si="12"/>
        <v xml:space="preserve"> </v>
      </c>
      <c r="IY40" s="136" t="str">
        <f t="shared" si="12"/>
        <v xml:space="preserve"> </v>
      </c>
      <c r="IZ40" s="136" t="str">
        <f t="shared" si="12"/>
        <v xml:space="preserve"> </v>
      </c>
      <c r="JA40" s="136" t="str">
        <f t="shared" si="12"/>
        <v xml:space="preserve"> </v>
      </c>
      <c r="JB40" s="136" t="str">
        <f t="shared" ref="JB40:LM40" si="13">IF(JB9=0," ",(JB14+JB20+JB26+JB30+JB32+JB34)/JB9)</f>
        <v xml:space="preserve"> </v>
      </c>
      <c r="JC40" s="136" t="str">
        <f t="shared" si="13"/>
        <v xml:space="preserve"> </v>
      </c>
      <c r="JD40" s="136" t="str">
        <f t="shared" si="13"/>
        <v xml:space="preserve"> </v>
      </c>
      <c r="JE40" s="136" t="str">
        <f t="shared" si="13"/>
        <v xml:space="preserve"> </v>
      </c>
      <c r="JF40" s="136" t="str">
        <f t="shared" si="13"/>
        <v xml:space="preserve"> </v>
      </c>
      <c r="JG40" s="136" t="str">
        <f t="shared" si="13"/>
        <v xml:space="preserve"> </v>
      </c>
      <c r="JH40" s="136" t="str">
        <f t="shared" si="13"/>
        <v xml:space="preserve"> </v>
      </c>
      <c r="JI40" s="136" t="str">
        <f t="shared" si="13"/>
        <v xml:space="preserve"> </v>
      </c>
      <c r="JJ40" s="136" t="str">
        <f t="shared" si="13"/>
        <v xml:space="preserve"> </v>
      </c>
      <c r="JK40" s="136" t="str">
        <f t="shared" si="13"/>
        <v xml:space="preserve"> </v>
      </c>
      <c r="JL40" s="136" t="str">
        <f t="shared" si="13"/>
        <v xml:space="preserve"> </v>
      </c>
      <c r="JM40" s="136" t="str">
        <f t="shared" si="13"/>
        <v xml:space="preserve"> </v>
      </c>
      <c r="JN40" s="136" t="str">
        <f t="shared" si="13"/>
        <v xml:space="preserve"> </v>
      </c>
      <c r="JO40" s="136" t="str">
        <f t="shared" si="13"/>
        <v xml:space="preserve"> </v>
      </c>
      <c r="JP40" s="136" t="str">
        <f t="shared" si="13"/>
        <v xml:space="preserve"> </v>
      </c>
      <c r="JQ40" s="136" t="str">
        <f t="shared" si="13"/>
        <v xml:space="preserve"> </v>
      </c>
      <c r="JR40" s="136" t="str">
        <f t="shared" si="13"/>
        <v xml:space="preserve"> </v>
      </c>
      <c r="JS40" s="136" t="str">
        <f t="shared" si="13"/>
        <v xml:space="preserve"> </v>
      </c>
      <c r="JT40" s="136" t="str">
        <f t="shared" si="13"/>
        <v xml:space="preserve"> </v>
      </c>
      <c r="JU40" s="136" t="str">
        <f t="shared" si="13"/>
        <v xml:space="preserve"> </v>
      </c>
      <c r="JV40" s="136" t="str">
        <f t="shared" si="13"/>
        <v xml:space="preserve"> </v>
      </c>
      <c r="JW40" s="136" t="str">
        <f t="shared" si="13"/>
        <v xml:space="preserve"> </v>
      </c>
      <c r="JX40" s="136" t="str">
        <f t="shared" si="13"/>
        <v xml:space="preserve"> </v>
      </c>
      <c r="JY40" s="136" t="str">
        <f t="shared" si="13"/>
        <v xml:space="preserve"> </v>
      </c>
      <c r="JZ40" s="136" t="str">
        <f t="shared" si="13"/>
        <v xml:space="preserve"> </v>
      </c>
      <c r="KA40" s="136" t="str">
        <f t="shared" si="13"/>
        <v xml:space="preserve"> </v>
      </c>
      <c r="KB40" s="136" t="str">
        <f t="shared" si="13"/>
        <v xml:space="preserve"> </v>
      </c>
      <c r="KC40" s="136" t="str">
        <f t="shared" si="13"/>
        <v xml:space="preserve"> </v>
      </c>
      <c r="KD40" s="136" t="str">
        <f t="shared" si="13"/>
        <v xml:space="preserve"> </v>
      </c>
      <c r="KE40" s="136" t="str">
        <f t="shared" si="13"/>
        <v xml:space="preserve"> </v>
      </c>
      <c r="KF40" s="136" t="str">
        <f t="shared" si="13"/>
        <v xml:space="preserve"> </v>
      </c>
      <c r="KG40" s="136" t="str">
        <f t="shared" si="13"/>
        <v xml:space="preserve"> </v>
      </c>
      <c r="KH40" s="136" t="str">
        <f t="shared" si="13"/>
        <v xml:space="preserve"> </v>
      </c>
      <c r="KI40" s="136" t="str">
        <f t="shared" si="13"/>
        <v xml:space="preserve"> </v>
      </c>
      <c r="KJ40" s="136" t="str">
        <f t="shared" si="13"/>
        <v xml:space="preserve"> </v>
      </c>
      <c r="KK40" s="136" t="str">
        <f t="shared" si="13"/>
        <v xml:space="preserve"> </v>
      </c>
      <c r="KL40" s="136" t="str">
        <f t="shared" si="13"/>
        <v xml:space="preserve"> </v>
      </c>
      <c r="KM40" s="136" t="str">
        <f t="shared" si="13"/>
        <v xml:space="preserve"> </v>
      </c>
      <c r="KN40" s="136" t="str">
        <f t="shared" si="13"/>
        <v xml:space="preserve"> </v>
      </c>
      <c r="KO40" s="136" t="str">
        <f t="shared" si="13"/>
        <v xml:space="preserve"> </v>
      </c>
      <c r="KP40" s="136" t="str">
        <f t="shared" si="13"/>
        <v xml:space="preserve"> </v>
      </c>
      <c r="KQ40" s="136" t="str">
        <f t="shared" si="13"/>
        <v xml:space="preserve"> </v>
      </c>
      <c r="KR40" s="136" t="str">
        <f t="shared" si="13"/>
        <v xml:space="preserve"> </v>
      </c>
      <c r="KS40" s="136" t="str">
        <f t="shared" si="13"/>
        <v xml:space="preserve"> </v>
      </c>
      <c r="KT40" s="136" t="str">
        <f t="shared" si="13"/>
        <v xml:space="preserve"> </v>
      </c>
      <c r="KU40" s="136" t="str">
        <f t="shared" si="13"/>
        <v xml:space="preserve"> </v>
      </c>
      <c r="KV40" s="136" t="str">
        <f t="shared" si="13"/>
        <v xml:space="preserve"> </v>
      </c>
      <c r="KW40" s="136" t="str">
        <f t="shared" si="13"/>
        <v xml:space="preserve"> </v>
      </c>
      <c r="KX40" s="136" t="str">
        <f t="shared" si="13"/>
        <v xml:space="preserve"> </v>
      </c>
      <c r="KY40" s="136" t="str">
        <f t="shared" si="13"/>
        <v xml:space="preserve"> </v>
      </c>
      <c r="KZ40" s="136" t="str">
        <f t="shared" si="13"/>
        <v xml:space="preserve"> </v>
      </c>
      <c r="LA40" s="136" t="str">
        <f t="shared" si="13"/>
        <v xml:space="preserve"> </v>
      </c>
      <c r="LB40" s="136" t="str">
        <f t="shared" si="13"/>
        <v xml:space="preserve"> </v>
      </c>
      <c r="LC40" s="136" t="str">
        <f t="shared" si="13"/>
        <v xml:space="preserve"> </v>
      </c>
      <c r="LD40" s="136" t="str">
        <f t="shared" si="13"/>
        <v xml:space="preserve"> </v>
      </c>
      <c r="LE40" s="136" t="str">
        <f t="shared" si="13"/>
        <v xml:space="preserve"> </v>
      </c>
      <c r="LF40" s="136" t="str">
        <f t="shared" si="13"/>
        <v xml:space="preserve"> </v>
      </c>
      <c r="LG40" s="136" t="str">
        <f t="shared" si="13"/>
        <v xml:space="preserve"> </v>
      </c>
      <c r="LH40" s="136" t="str">
        <f t="shared" si="13"/>
        <v xml:space="preserve"> </v>
      </c>
      <c r="LI40" s="136" t="str">
        <f t="shared" si="13"/>
        <v xml:space="preserve"> </v>
      </c>
      <c r="LJ40" s="136" t="str">
        <f t="shared" si="13"/>
        <v xml:space="preserve"> </v>
      </c>
      <c r="LK40" s="136" t="str">
        <f t="shared" si="13"/>
        <v xml:space="preserve"> </v>
      </c>
      <c r="LL40" s="136" t="str">
        <f t="shared" si="13"/>
        <v xml:space="preserve"> </v>
      </c>
      <c r="LM40" s="136" t="str">
        <f t="shared" si="13"/>
        <v xml:space="preserve"> </v>
      </c>
      <c r="LN40" s="136" t="str">
        <f t="shared" ref="LN40:ND40" si="14">IF(LN9=0," ",(LN14+LN20+LN26+LN30+LN32+LN34)/LN9)</f>
        <v xml:space="preserve"> </v>
      </c>
      <c r="LO40" s="136" t="str">
        <f t="shared" si="14"/>
        <v xml:space="preserve"> </v>
      </c>
      <c r="LP40" s="136" t="str">
        <f t="shared" si="14"/>
        <v xml:space="preserve"> </v>
      </c>
      <c r="LQ40" s="136" t="str">
        <f t="shared" si="14"/>
        <v xml:space="preserve"> </v>
      </c>
      <c r="LR40" s="136" t="str">
        <f t="shared" si="14"/>
        <v xml:space="preserve"> </v>
      </c>
      <c r="LS40" s="136" t="str">
        <f t="shared" si="14"/>
        <v xml:space="preserve"> </v>
      </c>
      <c r="LT40" s="136" t="str">
        <f t="shared" si="14"/>
        <v xml:space="preserve"> </v>
      </c>
      <c r="LU40" s="136" t="str">
        <f t="shared" si="14"/>
        <v xml:space="preserve"> </v>
      </c>
      <c r="LV40" s="136" t="str">
        <f t="shared" si="14"/>
        <v xml:space="preserve"> </v>
      </c>
      <c r="LW40" s="136" t="str">
        <f t="shared" si="14"/>
        <v xml:space="preserve"> </v>
      </c>
      <c r="LX40" s="136" t="str">
        <f t="shared" si="14"/>
        <v xml:space="preserve"> </v>
      </c>
      <c r="LY40" s="136" t="str">
        <f t="shared" si="14"/>
        <v xml:space="preserve"> </v>
      </c>
      <c r="LZ40" s="136" t="str">
        <f t="shared" si="14"/>
        <v xml:space="preserve"> </v>
      </c>
      <c r="MA40" s="136" t="str">
        <f t="shared" si="14"/>
        <v xml:space="preserve"> </v>
      </c>
      <c r="MB40" s="136" t="str">
        <f t="shared" si="14"/>
        <v xml:space="preserve"> </v>
      </c>
      <c r="MC40" s="136" t="str">
        <f t="shared" si="14"/>
        <v xml:space="preserve"> </v>
      </c>
      <c r="MD40" s="136" t="str">
        <f t="shared" si="14"/>
        <v xml:space="preserve"> </v>
      </c>
      <c r="ME40" s="136" t="str">
        <f t="shared" si="14"/>
        <v xml:space="preserve"> </v>
      </c>
      <c r="MF40" s="136" t="str">
        <f t="shared" si="14"/>
        <v xml:space="preserve"> </v>
      </c>
      <c r="MG40" s="136" t="str">
        <f t="shared" si="14"/>
        <v xml:space="preserve"> </v>
      </c>
      <c r="MH40" s="136" t="str">
        <f t="shared" si="14"/>
        <v xml:space="preserve"> </v>
      </c>
      <c r="MI40" s="136" t="str">
        <f t="shared" si="14"/>
        <v xml:space="preserve"> </v>
      </c>
      <c r="MJ40" s="136" t="str">
        <f t="shared" si="14"/>
        <v xml:space="preserve"> </v>
      </c>
      <c r="MK40" s="136" t="str">
        <f t="shared" si="14"/>
        <v xml:space="preserve"> </v>
      </c>
      <c r="ML40" s="136" t="str">
        <f t="shared" si="14"/>
        <v xml:space="preserve"> </v>
      </c>
      <c r="MM40" s="136" t="str">
        <f t="shared" si="14"/>
        <v xml:space="preserve"> </v>
      </c>
      <c r="MN40" s="136" t="str">
        <f t="shared" si="14"/>
        <v xml:space="preserve"> </v>
      </c>
      <c r="MO40" s="136" t="str">
        <f t="shared" si="14"/>
        <v xml:space="preserve"> </v>
      </c>
      <c r="MP40" s="136" t="str">
        <f t="shared" si="14"/>
        <v xml:space="preserve"> </v>
      </c>
      <c r="MQ40" s="136" t="str">
        <f t="shared" si="14"/>
        <v xml:space="preserve"> </v>
      </c>
      <c r="MR40" s="136" t="str">
        <f t="shared" si="14"/>
        <v xml:space="preserve"> </v>
      </c>
      <c r="MS40" s="136" t="str">
        <f t="shared" si="14"/>
        <v xml:space="preserve"> </v>
      </c>
      <c r="MT40" s="136" t="str">
        <f t="shared" si="14"/>
        <v xml:space="preserve"> </v>
      </c>
      <c r="MU40" s="136" t="str">
        <f t="shared" si="14"/>
        <v xml:space="preserve"> </v>
      </c>
      <c r="MV40" s="136" t="str">
        <f t="shared" si="14"/>
        <v xml:space="preserve"> </v>
      </c>
      <c r="MW40" s="136" t="str">
        <f t="shared" si="14"/>
        <v xml:space="preserve"> </v>
      </c>
      <c r="MX40" s="136" t="str">
        <f t="shared" si="14"/>
        <v xml:space="preserve"> </v>
      </c>
      <c r="MY40" s="136" t="str">
        <f t="shared" si="14"/>
        <v xml:space="preserve"> </v>
      </c>
      <c r="MZ40" s="136" t="str">
        <f t="shared" si="14"/>
        <v xml:space="preserve"> </v>
      </c>
      <c r="NA40" s="136" t="str">
        <f t="shared" si="14"/>
        <v xml:space="preserve"> </v>
      </c>
      <c r="NB40" s="136" t="str">
        <f t="shared" si="14"/>
        <v xml:space="preserve"> </v>
      </c>
      <c r="NC40" s="136" t="str">
        <f t="shared" si="14"/>
        <v xml:space="preserve"> </v>
      </c>
      <c r="ND40" s="136" t="str">
        <f t="shared" si="14"/>
        <v xml:space="preserve"> </v>
      </c>
      <c r="NE40" s="136" t="str">
        <f t="shared" ref="NE40" si="15">IF(NE9=0," ",(NE14+NE20+NE26+NE30+NE32+NE34)/NE9)</f>
        <v xml:space="preserve"> </v>
      </c>
    </row>
    <row r="41" spans="1:369" x14ac:dyDescent="0.2">
      <c r="A41" s="17" t="s">
        <v>25</v>
      </c>
      <c r="B41" s="215"/>
      <c r="C41" s="137">
        <f t="shared" ref="C41:J41" si="16">IF(SUM(C15:C18)=0," ",(C13+C14)/(((C15+C16)*0.25)+(C17+C18)))</f>
        <v>0.33852867830423938</v>
      </c>
      <c r="D41" s="137">
        <f t="shared" si="16"/>
        <v>0.32921810699588477</v>
      </c>
      <c r="E41" s="137">
        <f t="shared" si="16"/>
        <v>0.32808988764044944</v>
      </c>
      <c r="F41" s="137" t="str">
        <f t="shared" si="16"/>
        <v xml:space="preserve"> </v>
      </c>
      <c r="G41" s="137" t="str">
        <f t="shared" si="16"/>
        <v xml:space="preserve"> </v>
      </c>
      <c r="H41" s="137" t="str">
        <f t="shared" si="16"/>
        <v xml:space="preserve"> </v>
      </c>
      <c r="I41" s="137" t="str">
        <f t="shared" si="16"/>
        <v xml:space="preserve"> </v>
      </c>
      <c r="J41" s="137">
        <f t="shared" si="16"/>
        <v>0.34090909090909088</v>
      </c>
      <c r="K41" s="137">
        <f t="shared" ref="K41:BV41" si="17">IF(SUM(K15:K18)=0," ",(K13+K14)/(((K15+K16)*0.25)+(K17+K18)))</f>
        <v>0.27682403433476394</v>
      </c>
      <c r="L41" s="137">
        <f t="shared" si="17"/>
        <v>0.37944664031620551</v>
      </c>
      <c r="M41" s="137">
        <f t="shared" si="17"/>
        <v>0.36585365853658536</v>
      </c>
      <c r="N41" s="137">
        <f t="shared" si="17"/>
        <v>0.32410533423362592</v>
      </c>
      <c r="O41" s="137" t="str">
        <f t="shared" si="17"/>
        <v xml:space="preserve"> </v>
      </c>
      <c r="P41" s="137" t="str">
        <f t="shared" si="17"/>
        <v xml:space="preserve"> </v>
      </c>
      <c r="Q41" s="137">
        <f t="shared" si="17"/>
        <v>0.32470826991374935</v>
      </c>
      <c r="R41" s="137">
        <f t="shared" si="17"/>
        <v>0.33057851239669422</v>
      </c>
      <c r="S41" s="137">
        <f t="shared" si="17"/>
        <v>0.29239766081871343</v>
      </c>
      <c r="T41" s="137">
        <f t="shared" si="17"/>
        <v>0.29181494661921709</v>
      </c>
      <c r="U41" s="137">
        <f t="shared" si="17"/>
        <v>0.30360531309297911</v>
      </c>
      <c r="V41" s="137" t="str">
        <f t="shared" si="17"/>
        <v xml:space="preserve"> </v>
      </c>
      <c r="W41" s="137" t="str">
        <f t="shared" si="17"/>
        <v xml:space="preserve"> </v>
      </c>
      <c r="X41" s="137">
        <f t="shared" si="17"/>
        <v>0.38372677046710196</v>
      </c>
      <c r="Y41" s="137">
        <f t="shared" si="17"/>
        <v>0.28127313101406365</v>
      </c>
      <c r="Z41" s="137">
        <f t="shared" si="17"/>
        <v>0.36784741144414168</v>
      </c>
      <c r="AA41" s="137" t="str">
        <f t="shared" si="17"/>
        <v xml:space="preserve"> </v>
      </c>
      <c r="AB41" s="137">
        <f t="shared" si="17"/>
        <v>0.27777777777777779</v>
      </c>
      <c r="AC41" s="137" t="str">
        <f t="shared" si="17"/>
        <v xml:space="preserve"> </v>
      </c>
      <c r="AD41" s="137" t="str">
        <f t="shared" si="17"/>
        <v xml:space="preserve"> </v>
      </c>
      <c r="AE41" s="137">
        <f t="shared" si="17"/>
        <v>0.30565136641018836</v>
      </c>
      <c r="AF41" s="137">
        <f t="shared" si="17"/>
        <v>0.26203938389549619</v>
      </c>
      <c r="AG41" s="137">
        <f t="shared" si="17"/>
        <v>0.29750889679715303</v>
      </c>
      <c r="AH41" s="137">
        <f t="shared" si="17"/>
        <v>0.31478358628442943</v>
      </c>
      <c r="AI41" s="137">
        <f t="shared" si="17"/>
        <v>0.29232643118148599</v>
      </c>
      <c r="AJ41" s="137" t="str">
        <f t="shared" si="17"/>
        <v xml:space="preserve"> </v>
      </c>
      <c r="AK41" s="137" t="str">
        <f t="shared" si="17"/>
        <v xml:space="preserve"> </v>
      </c>
      <c r="AL41" s="137">
        <f t="shared" si="17"/>
        <v>0.26161616161616164</v>
      </c>
      <c r="AM41" s="137" t="str">
        <f t="shared" si="17"/>
        <v xml:space="preserve"> </v>
      </c>
      <c r="AN41" s="137">
        <f t="shared" si="17"/>
        <v>0.34426610839730171</v>
      </c>
      <c r="AO41" s="137">
        <f>IF(SUM(AO15:AO18)=0," ",(AO13+AO14)/(((AO15+AO16)*0.25)+(AO17+AQ18)))</f>
        <v>0.42979942693409739</v>
      </c>
      <c r="AP41" s="137">
        <f>IF(SUM(AP15:AP19)=0," ",(AP13+AP14)/(((AP15+AP16)*0.25)+(AP17+AP19)))</f>
        <v>0.26785714285714285</v>
      </c>
      <c r="AQ41" s="137" t="str">
        <f>IF(SUM(AQ15:AQ18)=0," ",(AQ13+AQ14)/(((AQ15+AQ16)*0.25)+(AQ17+#REF!)))</f>
        <v xml:space="preserve"> </v>
      </c>
      <c r="AR41" s="137" t="str">
        <f t="shared" si="17"/>
        <v xml:space="preserve"> </v>
      </c>
      <c r="AS41" s="137">
        <f t="shared" si="17"/>
        <v>0.28709731263562011</v>
      </c>
      <c r="AT41" s="137">
        <f t="shared" si="17"/>
        <v>0.27210884353741499</v>
      </c>
      <c r="AU41" s="137">
        <f t="shared" si="17"/>
        <v>0.28261893546867639</v>
      </c>
      <c r="AV41" s="137">
        <f t="shared" si="17"/>
        <v>0.27777777777777779</v>
      </c>
      <c r="AW41" s="137">
        <f t="shared" si="17"/>
        <v>0.35621521335807049</v>
      </c>
      <c r="AX41" s="137" t="str">
        <f t="shared" si="17"/>
        <v xml:space="preserve"> </v>
      </c>
      <c r="AY41" s="137" t="str">
        <f t="shared" si="17"/>
        <v xml:space="preserve"> </v>
      </c>
      <c r="AZ41" s="137">
        <f t="shared" si="17"/>
        <v>0.28222222222222221</v>
      </c>
      <c r="BA41" s="137">
        <f t="shared" si="17"/>
        <v>0.32899246058944481</v>
      </c>
      <c r="BB41" s="137">
        <f t="shared" si="17"/>
        <v>0.31765213638325424</v>
      </c>
      <c r="BC41" s="137">
        <f t="shared" si="17"/>
        <v>0.29521640091116175</v>
      </c>
      <c r="BD41" s="137">
        <f t="shared" si="17"/>
        <v>0.30994152046783624</v>
      </c>
      <c r="BE41" s="137" t="str">
        <f t="shared" si="17"/>
        <v xml:space="preserve"> </v>
      </c>
      <c r="BF41" s="137" t="str">
        <f t="shared" si="17"/>
        <v xml:space="preserve"> </v>
      </c>
      <c r="BG41" s="137">
        <f t="shared" si="17"/>
        <v>0.29695619896065328</v>
      </c>
      <c r="BH41" s="137">
        <f t="shared" si="17"/>
        <v>0.31007751937984496</v>
      </c>
      <c r="BI41" s="137">
        <f t="shared" si="17"/>
        <v>0.31178707224334601</v>
      </c>
      <c r="BJ41" s="137">
        <f t="shared" si="17"/>
        <v>0.34734282737061478</v>
      </c>
      <c r="BK41" s="137">
        <f t="shared" si="17"/>
        <v>0.32854209445585214</v>
      </c>
      <c r="BL41" s="137" t="str">
        <f t="shared" si="17"/>
        <v xml:space="preserve"> </v>
      </c>
      <c r="BM41" s="137" t="str">
        <f t="shared" si="17"/>
        <v xml:space="preserve"> </v>
      </c>
      <c r="BN41" s="137">
        <f t="shared" si="17"/>
        <v>0.29232643118148599</v>
      </c>
      <c r="BO41" s="137" t="str">
        <f t="shared" si="17"/>
        <v xml:space="preserve"> </v>
      </c>
      <c r="BP41" s="137">
        <f t="shared" si="17"/>
        <v>0.29758214507129571</v>
      </c>
      <c r="BQ41" s="137" t="str">
        <f t="shared" si="17"/>
        <v xml:space="preserve"> </v>
      </c>
      <c r="BR41" s="137">
        <f t="shared" si="17"/>
        <v>0.33731553056921998</v>
      </c>
      <c r="BS41" s="137" t="str">
        <f t="shared" si="17"/>
        <v xml:space="preserve"> </v>
      </c>
      <c r="BT41" s="137" t="str">
        <f t="shared" si="17"/>
        <v xml:space="preserve"> </v>
      </c>
      <c r="BU41" s="137">
        <f t="shared" si="17"/>
        <v>0.267260579064588</v>
      </c>
      <c r="BV41" s="137">
        <f t="shared" si="17"/>
        <v>0.34285714285714286</v>
      </c>
      <c r="BW41" s="137">
        <f t="shared" ref="BW41:EH41" si="18">IF(SUM(BW15:BW18)=0," ",(BW13+BW14)/(((BW15+BW16)*0.25)+(BW17+BW18)))</f>
        <v>0.27906976744186046</v>
      </c>
      <c r="BX41" s="137">
        <f t="shared" si="18"/>
        <v>0.29883183917413747</v>
      </c>
      <c r="BY41" s="137">
        <f t="shared" si="18"/>
        <v>0.26567481402763016</v>
      </c>
      <c r="BZ41" s="137" t="str">
        <f t="shared" si="18"/>
        <v xml:space="preserve"> </v>
      </c>
      <c r="CA41" s="137" t="str">
        <f t="shared" si="18"/>
        <v xml:space="preserve"> </v>
      </c>
      <c r="CB41" s="137">
        <f t="shared" si="18"/>
        <v>0.32664171486900306</v>
      </c>
      <c r="CC41" s="137">
        <f t="shared" si="18"/>
        <v>0.33082706766917291</v>
      </c>
      <c r="CD41" s="137">
        <f t="shared" si="18"/>
        <v>0.28409090909090912</v>
      </c>
      <c r="CE41" s="137" t="str">
        <f t="shared" si="18"/>
        <v xml:space="preserve"> </v>
      </c>
      <c r="CF41" s="137">
        <f t="shared" si="18"/>
        <v>0.36090225563909772</v>
      </c>
      <c r="CG41" s="137" t="str">
        <f t="shared" si="18"/>
        <v xml:space="preserve"> </v>
      </c>
      <c r="CH41" s="137" t="str">
        <f t="shared" si="18"/>
        <v xml:space="preserve"> </v>
      </c>
      <c r="CI41" s="137">
        <f t="shared" si="18"/>
        <v>0.26785714285714285</v>
      </c>
      <c r="CJ41" s="137" t="str">
        <f t="shared" si="18"/>
        <v xml:space="preserve"> </v>
      </c>
      <c r="CK41" s="137">
        <f t="shared" si="18"/>
        <v>0.29672367607665362</v>
      </c>
      <c r="CL41" s="137" t="str">
        <f t="shared" si="18"/>
        <v xml:space="preserve"> </v>
      </c>
      <c r="CM41" s="137">
        <f t="shared" si="18"/>
        <v>0.29411764705882354</v>
      </c>
      <c r="CN41" s="137" t="str">
        <f t="shared" si="18"/>
        <v xml:space="preserve"> </v>
      </c>
      <c r="CO41" s="137" t="str">
        <f t="shared" si="18"/>
        <v xml:space="preserve"> </v>
      </c>
      <c r="CP41" s="137" t="str">
        <f t="shared" si="18"/>
        <v xml:space="preserve"> </v>
      </c>
      <c r="CQ41" s="137">
        <f t="shared" si="18"/>
        <v>0.40268456375838924</v>
      </c>
      <c r="CR41" s="137">
        <f t="shared" si="18"/>
        <v>0.34632034632034631</v>
      </c>
      <c r="CS41" s="137">
        <f t="shared" si="18"/>
        <v>0.2857142857142857</v>
      </c>
      <c r="CT41" s="137" t="str">
        <f t="shared" si="18"/>
        <v xml:space="preserve"> </v>
      </c>
      <c r="CU41" s="137" t="str">
        <f t="shared" si="18"/>
        <v xml:space="preserve"> </v>
      </c>
      <c r="CV41" s="137" t="str">
        <f t="shared" si="18"/>
        <v xml:space="preserve"> </v>
      </c>
      <c r="CW41" s="137">
        <f t="shared" si="18"/>
        <v>0.3</v>
      </c>
      <c r="CX41" s="137" t="str">
        <f t="shared" si="18"/>
        <v xml:space="preserve"> </v>
      </c>
      <c r="CY41" s="137">
        <f t="shared" si="18"/>
        <v>0.28828828828828829</v>
      </c>
      <c r="CZ41" s="137">
        <f t="shared" si="18"/>
        <v>0.29133284777858703</v>
      </c>
      <c r="DA41" s="137" t="str">
        <f t="shared" si="18"/>
        <v xml:space="preserve"> </v>
      </c>
      <c r="DB41" s="137" t="str">
        <f t="shared" si="18"/>
        <v xml:space="preserve"> </v>
      </c>
      <c r="DC41" s="137" t="str">
        <f t="shared" si="18"/>
        <v xml:space="preserve"> </v>
      </c>
      <c r="DD41" s="137">
        <f t="shared" si="18"/>
        <v>0.30645161290322581</v>
      </c>
      <c r="DE41" s="137" t="str">
        <f t="shared" si="18"/>
        <v xml:space="preserve"> </v>
      </c>
      <c r="DF41" s="137" t="str">
        <f t="shared" si="18"/>
        <v xml:space="preserve"> </v>
      </c>
      <c r="DG41" s="137" t="str">
        <f t="shared" si="18"/>
        <v xml:space="preserve"> </v>
      </c>
      <c r="DH41" s="137">
        <f t="shared" si="18"/>
        <v>0.29321930360415394</v>
      </c>
      <c r="DI41" s="137" t="str">
        <f t="shared" si="18"/>
        <v xml:space="preserve"> </v>
      </c>
      <c r="DJ41" s="137" t="str">
        <f t="shared" si="18"/>
        <v xml:space="preserve"> </v>
      </c>
      <c r="DK41" s="137" t="str">
        <f t="shared" si="18"/>
        <v xml:space="preserve"> </v>
      </c>
      <c r="DL41" s="137">
        <f t="shared" si="18"/>
        <v>0.39770554493307841</v>
      </c>
      <c r="DM41" s="137">
        <f t="shared" si="18"/>
        <v>0.36363636363636365</v>
      </c>
      <c r="DN41" s="137">
        <f t="shared" si="18"/>
        <v>0.27924528301886792</v>
      </c>
      <c r="DO41" s="137">
        <f t="shared" si="18"/>
        <v>0.33994334277620397</v>
      </c>
      <c r="DP41" s="137" t="str">
        <f t="shared" si="18"/>
        <v xml:space="preserve"> </v>
      </c>
      <c r="DQ41" s="137" t="str">
        <f t="shared" si="18"/>
        <v xml:space="preserve"> </v>
      </c>
      <c r="DR41" s="137" t="str">
        <f t="shared" si="18"/>
        <v xml:space="preserve"> </v>
      </c>
      <c r="DS41" s="137">
        <f t="shared" si="18"/>
        <v>0.30769230769230771</v>
      </c>
      <c r="DT41" s="137" t="str">
        <f t="shared" si="18"/>
        <v xml:space="preserve"> </v>
      </c>
      <c r="DU41" s="137">
        <f t="shared" si="18"/>
        <v>0.31466331025802391</v>
      </c>
      <c r="DV41" s="137" t="str">
        <f t="shared" si="18"/>
        <v xml:space="preserve"> </v>
      </c>
      <c r="DW41" s="137" t="str">
        <f t="shared" si="18"/>
        <v xml:space="preserve"> </v>
      </c>
      <c r="DX41" s="137" t="str">
        <f t="shared" si="18"/>
        <v xml:space="preserve"> </v>
      </c>
      <c r="DY41" s="137" t="str">
        <f t="shared" si="18"/>
        <v xml:space="preserve"> </v>
      </c>
      <c r="DZ41" s="137">
        <f t="shared" si="18"/>
        <v>0.37151702786377711</v>
      </c>
      <c r="EA41" s="137">
        <f t="shared" si="18"/>
        <v>0.28824833702882485</v>
      </c>
      <c r="EB41" s="137">
        <f t="shared" si="18"/>
        <v>0.35862068965517241</v>
      </c>
      <c r="EC41" s="137" t="str">
        <f t="shared" si="18"/>
        <v xml:space="preserve"> </v>
      </c>
      <c r="ED41" s="137" t="str">
        <f t="shared" si="18"/>
        <v xml:space="preserve"> </v>
      </c>
      <c r="EE41" s="137" t="str">
        <f t="shared" si="18"/>
        <v xml:space="preserve"> </v>
      </c>
      <c r="EF41" s="137">
        <f t="shared" si="18"/>
        <v>0.29082774049217003</v>
      </c>
      <c r="EG41" s="137">
        <f t="shared" si="18"/>
        <v>0.34712950600801068</v>
      </c>
      <c r="EH41" s="137">
        <f t="shared" si="18"/>
        <v>0.3588681849551415</v>
      </c>
      <c r="EI41" s="137">
        <f t="shared" ref="EI41:GT41" si="19">IF(SUM(EI15:EI18)=0," ",(EI13+EI14)/(((EI15+EI16)*0.25)+(EI17+EI18)))</f>
        <v>0.29213483146067415</v>
      </c>
      <c r="EJ41" s="137" t="str">
        <f t="shared" si="19"/>
        <v xml:space="preserve"> </v>
      </c>
      <c r="EK41" s="137" t="str">
        <f t="shared" si="19"/>
        <v xml:space="preserve"> </v>
      </c>
      <c r="EL41" s="137" t="str">
        <f t="shared" si="19"/>
        <v xml:space="preserve"> </v>
      </c>
      <c r="EM41" s="137" t="str">
        <f t="shared" si="19"/>
        <v xml:space="preserve"> </v>
      </c>
      <c r="EN41" s="137">
        <f t="shared" si="19"/>
        <v>0.33034825870646767</v>
      </c>
      <c r="EO41" s="137" t="str">
        <f t="shared" si="19"/>
        <v xml:space="preserve"> </v>
      </c>
      <c r="EP41" s="137">
        <f t="shared" si="19"/>
        <v>0.2696629213483146</v>
      </c>
      <c r="EQ41" s="137" t="str">
        <f t="shared" si="19"/>
        <v xml:space="preserve"> </v>
      </c>
      <c r="ER41" s="137" t="str">
        <f t="shared" si="19"/>
        <v xml:space="preserve"> </v>
      </c>
      <c r="ES41" s="137" t="str">
        <f t="shared" si="19"/>
        <v xml:space="preserve"> </v>
      </c>
      <c r="ET41" s="137" t="str">
        <f t="shared" si="19"/>
        <v xml:space="preserve"> </v>
      </c>
      <c r="EU41" s="137">
        <f t="shared" si="19"/>
        <v>0.27303754266211605</v>
      </c>
      <c r="EV41" s="137">
        <f t="shared" si="19"/>
        <v>0.32809295967190705</v>
      </c>
      <c r="EW41" s="137">
        <f t="shared" si="19"/>
        <v>0.31693628260151863</v>
      </c>
      <c r="EX41" s="137" t="str">
        <f t="shared" si="19"/>
        <v xml:space="preserve"> </v>
      </c>
      <c r="EY41" s="137" t="str">
        <f t="shared" si="19"/>
        <v xml:space="preserve"> </v>
      </c>
      <c r="EZ41" s="137" t="str">
        <f t="shared" si="19"/>
        <v xml:space="preserve"> </v>
      </c>
      <c r="FA41" s="137" t="str">
        <f t="shared" si="19"/>
        <v xml:space="preserve"> </v>
      </c>
      <c r="FB41" s="137">
        <f t="shared" si="19"/>
        <v>0.27777777777777779</v>
      </c>
      <c r="FC41" s="137" t="str">
        <f t="shared" si="19"/>
        <v xml:space="preserve"> </v>
      </c>
      <c r="FD41" s="137" t="str">
        <f t="shared" si="19"/>
        <v xml:space="preserve"> </v>
      </c>
      <c r="FE41" s="137">
        <f t="shared" si="19"/>
        <v>0.33496161898115839</v>
      </c>
      <c r="FF41" s="137" t="str">
        <f t="shared" si="19"/>
        <v xml:space="preserve"> </v>
      </c>
      <c r="FG41" s="137" t="str">
        <f t="shared" si="19"/>
        <v xml:space="preserve"> </v>
      </c>
      <c r="FH41" s="137" t="str">
        <f t="shared" si="19"/>
        <v xml:space="preserve"> </v>
      </c>
      <c r="FI41" s="137">
        <f t="shared" si="19"/>
        <v>0.3125</v>
      </c>
      <c r="FJ41" s="137">
        <f t="shared" si="19"/>
        <v>0.2857142857142857</v>
      </c>
      <c r="FK41" s="137" t="str">
        <f t="shared" si="19"/>
        <v xml:space="preserve"> </v>
      </c>
      <c r="FL41" s="137">
        <f t="shared" si="19"/>
        <v>0.26707132018209406</v>
      </c>
      <c r="FM41" s="137" t="str">
        <f t="shared" si="19"/>
        <v xml:space="preserve"> </v>
      </c>
      <c r="FN41" s="137" t="str">
        <f t="shared" si="19"/>
        <v xml:space="preserve"> </v>
      </c>
      <c r="FO41" s="137" t="str">
        <f t="shared" si="19"/>
        <v xml:space="preserve"> </v>
      </c>
      <c r="FP41" s="137" t="str">
        <f t="shared" si="19"/>
        <v xml:space="preserve"> </v>
      </c>
      <c r="FQ41" s="137" t="str">
        <f t="shared" si="19"/>
        <v xml:space="preserve"> </v>
      </c>
      <c r="FR41" s="137" t="str">
        <f t="shared" si="19"/>
        <v xml:space="preserve"> </v>
      </c>
      <c r="FS41" s="137" t="str">
        <f t="shared" si="19"/>
        <v xml:space="preserve"> </v>
      </c>
      <c r="FT41" s="137" t="str">
        <f t="shared" si="19"/>
        <v xml:space="preserve"> </v>
      </c>
      <c r="FU41" s="137" t="str">
        <f t="shared" si="19"/>
        <v xml:space="preserve"> </v>
      </c>
      <c r="FV41" s="137" t="str">
        <f t="shared" si="19"/>
        <v xml:space="preserve"> </v>
      </c>
      <c r="FW41" s="137" t="str">
        <f t="shared" si="19"/>
        <v xml:space="preserve"> </v>
      </c>
      <c r="FX41" s="137" t="str">
        <f t="shared" si="19"/>
        <v xml:space="preserve"> </v>
      </c>
      <c r="FY41" s="137" t="str">
        <f t="shared" si="19"/>
        <v xml:space="preserve"> </v>
      </c>
      <c r="FZ41" s="137" t="str">
        <f t="shared" si="19"/>
        <v xml:space="preserve"> </v>
      </c>
      <c r="GA41" s="137" t="str">
        <f t="shared" si="19"/>
        <v xml:space="preserve"> </v>
      </c>
      <c r="GB41" s="137" t="str">
        <f t="shared" si="19"/>
        <v xml:space="preserve"> </v>
      </c>
      <c r="GC41" s="137" t="str">
        <f t="shared" si="19"/>
        <v xml:space="preserve"> </v>
      </c>
      <c r="GD41" s="137" t="str">
        <f t="shared" si="19"/>
        <v xml:space="preserve"> </v>
      </c>
      <c r="GE41" s="137" t="str">
        <f t="shared" si="19"/>
        <v xml:space="preserve"> </v>
      </c>
      <c r="GF41" s="137" t="str">
        <f t="shared" si="19"/>
        <v xml:space="preserve"> </v>
      </c>
      <c r="GG41" s="137" t="str">
        <f t="shared" si="19"/>
        <v xml:space="preserve"> </v>
      </c>
      <c r="GH41" s="137" t="str">
        <f t="shared" si="19"/>
        <v xml:space="preserve"> </v>
      </c>
      <c r="GI41" s="137" t="str">
        <f t="shared" si="19"/>
        <v xml:space="preserve"> </v>
      </c>
      <c r="GJ41" s="137" t="str">
        <f t="shared" si="19"/>
        <v xml:space="preserve"> </v>
      </c>
      <c r="GK41" s="137" t="str">
        <f t="shared" si="19"/>
        <v xml:space="preserve"> </v>
      </c>
      <c r="GL41" s="137" t="str">
        <f t="shared" si="19"/>
        <v xml:space="preserve"> </v>
      </c>
      <c r="GM41" s="137" t="str">
        <f t="shared" si="19"/>
        <v xml:space="preserve"> </v>
      </c>
      <c r="GN41" s="137" t="str">
        <f t="shared" si="19"/>
        <v xml:space="preserve"> </v>
      </c>
      <c r="GO41" s="137" t="str">
        <f t="shared" si="19"/>
        <v xml:space="preserve"> </v>
      </c>
      <c r="GP41" s="137" t="str">
        <f t="shared" si="19"/>
        <v xml:space="preserve"> </v>
      </c>
      <c r="GQ41" s="137" t="str">
        <f t="shared" si="19"/>
        <v xml:space="preserve"> </v>
      </c>
      <c r="GR41" s="137" t="str">
        <f t="shared" si="19"/>
        <v xml:space="preserve"> </v>
      </c>
      <c r="GS41" s="137" t="str">
        <f t="shared" si="19"/>
        <v xml:space="preserve"> </v>
      </c>
      <c r="GT41" s="137" t="str">
        <f t="shared" si="19"/>
        <v xml:space="preserve"> </v>
      </c>
      <c r="GU41" s="137" t="str">
        <f t="shared" ref="GU41:JF41" si="20">IF(SUM(GU15:GU18)=0," ",(GU13+GU14)/(((GU15+GU16)*0.25)+(GU17+GU18)))</f>
        <v xml:space="preserve"> </v>
      </c>
      <c r="GV41" s="137" t="str">
        <f t="shared" si="20"/>
        <v xml:space="preserve"> </v>
      </c>
      <c r="GW41" s="137" t="str">
        <f t="shared" si="20"/>
        <v xml:space="preserve"> </v>
      </c>
      <c r="GX41" s="137" t="str">
        <f t="shared" si="20"/>
        <v xml:space="preserve"> </v>
      </c>
      <c r="GY41" s="137" t="str">
        <f t="shared" si="20"/>
        <v xml:space="preserve"> </v>
      </c>
      <c r="GZ41" s="137" t="str">
        <f t="shared" si="20"/>
        <v xml:space="preserve"> </v>
      </c>
      <c r="HA41" s="137" t="str">
        <f t="shared" si="20"/>
        <v xml:space="preserve"> </v>
      </c>
      <c r="HB41" s="137" t="str">
        <f t="shared" si="20"/>
        <v xml:space="preserve"> </v>
      </c>
      <c r="HC41" s="137" t="str">
        <f t="shared" si="20"/>
        <v xml:space="preserve"> </v>
      </c>
      <c r="HD41" s="137" t="str">
        <f t="shared" si="20"/>
        <v xml:space="preserve"> </v>
      </c>
      <c r="HE41" s="137" t="str">
        <f t="shared" si="20"/>
        <v xml:space="preserve"> </v>
      </c>
      <c r="HF41" s="137" t="str">
        <f t="shared" si="20"/>
        <v xml:space="preserve"> </v>
      </c>
      <c r="HG41" s="137" t="str">
        <f t="shared" si="20"/>
        <v xml:space="preserve"> </v>
      </c>
      <c r="HH41" s="137" t="str">
        <f t="shared" si="20"/>
        <v xml:space="preserve"> </v>
      </c>
      <c r="HI41" s="137" t="str">
        <f t="shared" si="20"/>
        <v xml:space="preserve"> </v>
      </c>
      <c r="HJ41" s="137" t="str">
        <f t="shared" si="20"/>
        <v xml:space="preserve"> </v>
      </c>
      <c r="HK41" s="137" t="str">
        <f t="shared" si="20"/>
        <v xml:space="preserve"> </v>
      </c>
      <c r="HL41" s="137" t="str">
        <f t="shared" si="20"/>
        <v xml:space="preserve"> </v>
      </c>
      <c r="HM41" s="137" t="str">
        <f t="shared" si="20"/>
        <v xml:space="preserve"> </v>
      </c>
      <c r="HN41" s="137" t="str">
        <f t="shared" si="20"/>
        <v xml:space="preserve"> </v>
      </c>
      <c r="HO41" s="137" t="str">
        <f t="shared" si="20"/>
        <v xml:space="preserve"> </v>
      </c>
      <c r="HP41" s="137" t="str">
        <f t="shared" si="20"/>
        <v xml:space="preserve"> </v>
      </c>
      <c r="HQ41" s="137" t="str">
        <f t="shared" si="20"/>
        <v xml:space="preserve"> </v>
      </c>
      <c r="HR41" s="137" t="str">
        <f t="shared" si="20"/>
        <v xml:space="preserve"> </v>
      </c>
      <c r="HS41" s="137" t="str">
        <f t="shared" si="20"/>
        <v xml:space="preserve"> </v>
      </c>
      <c r="HT41" s="137" t="str">
        <f t="shared" si="20"/>
        <v xml:space="preserve"> </v>
      </c>
      <c r="HU41" s="137" t="str">
        <f t="shared" si="20"/>
        <v xml:space="preserve"> </v>
      </c>
      <c r="HV41" s="137" t="str">
        <f t="shared" si="20"/>
        <v xml:space="preserve"> </v>
      </c>
      <c r="HW41" s="137" t="str">
        <f t="shared" si="20"/>
        <v xml:space="preserve"> </v>
      </c>
      <c r="HX41" s="137" t="str">
        <f t="shared" si="20"/>
        <v xml:space="preserve"> </v>
      </c>
      <c r="HY41" s="137" t="str">
        <f t="shared" si="20"/>
        <v xml:space="preserve"> </v>
      </c>
      <c r="HZ41" s="137" t="str">
        <f t="shared" si="20"/>
        <v xml:space="preserve"> </v>
      </c>
      <c r="IA41" s="137" t="str">
        <f t="shared" si="20"/>
        <v xml:space="preserve"> </v>
      </c>
      <c r="IB41" s="137" t="str">
        <f t="shared" si="20"/>
        <v xml:space="preserve"> </v>
      </c>
      <c r="IC41" s="137" t="str">
        <f t="shared" si="20"/>
        <v xml:space="preserve"> </v>
      </c>
      <c r="ID41" s="137" t="str">
        <f t="shared" si="20"/>
        <v xml:space="preserve"> </v>
      </c>
      <c r="IE41" s="137" t="str">
        <f t="shared" si="20"/>
        <v xml:space="preserve"> </v>
      </c>
      <c r="IF41" s="137" t="str">
        <f t="shared" si="20"/>
        <v xml:space="preserve"> </v>
      </c>
      <c r="IG41" s="137" t="str">
        <f t="shared" si="20"/>
        <v xml:space="preserve"> </v>
      </c>
      <c r="IH41" s="137" t="str">
        <f t="shared" si="20"/>
        <v xml:space="preserve"> </v>
      </c>
      <c r="II41" s="137" t="str">
        <f t="shared" si="20"/>
        <v xml:space="preserve"> </v>
      </c>
      <c r="IJ41" s="137" t="str">
        <f t="shared" si="20"/>
        <v xml:space="preserve"> </v>
      </c>
      <c r="IK41" s="137" t="str">
        <f t="shared" si="20"/>
        <v xml:space="preserve"> </v>
      </c>
      <c r="IL41" s="137" t="str">
        <f t="shared" si="20"/>
        <v xml:space="preserve"> </v>
      </c>
      <c r="IM41" s="137" t="str">
        <f t="shared" si="20"/>
        <v xml:space="preserve"> </v>
      </c>
      <c r="IN41" s="137" t="str">
        <f t="shared" si="20"/>
        <v xml:space="preserve"> </v>
      </c>
      <c r="IO41" s="137" t="str">
        <f t="shared" si="20"/>
        <v xml:space="preserve"> </v>
      </c>
      <c r="IP41" s="137" t="str">
        <f t="shared" si="20"/>
        <v xml:space="preserve"> </v>
      </c>
      <c r="IQ41" s="137" t="str">
        <f t="shared" si="20"/>
        <v xml:space="preserve"> </v>
      </c>
      <c r="IR41" s="137" t="str">
        <f t="shared" si="20"/>
        <v xml:space="preserve"> </v>
      </c>
      <c r="IS41" s="137" t="str">
        <f t="shared" si="20"/>
        <v xml:space="preserve"> </v>
      </c>
      <c r="IT41" s="137" t="str">
        <f t="shared" si="20"/>
        <v xml:space="preserve"> </v>
      </c>
      <c r="IU41" s="137" t="str">
        <f t="shared" si="20"/>
        <v xml:space="preserve"> </v>
      </c>
      <c r="IV41" s="137" t="str">
        <f t="shared" si="20"/>
        <v xml:space="preserve"> </v>
      </c>
      <c r="IW41" s="137" t="str">
        <f t="shared" si="20"/>
        <v xml:space="preserve"> </v>
      </c>
      <c r="IX41" s="137" t="str">
        <f t="shared" si="20"/>
        <v xml:space="preserve"> </v>
      </c>
      <c r="IY41" s="137" t="str">
        <f t="shared" si="20"/>
        <v xml:space="preserve"> </v>
      </c>
      <c r="IZ41" s="137" t="str">
        <f t="shared" si="20"/>
        <v xml:space="preserve"> </v>
      </c>
      <c r="JA41" s="137" t="str">
        <f t="shared" si="20"/>
        <v xml:space="preserve"> </v>
      </c>
      <c r="JB41" s="137" t="str">
        <f t="shared" si="20"/>
        <v xml:space="preserve"> </v>
      </c>
      <c r="JC41" s="137" t="str">
        <f t="shared" si="20"/>
        <v xml:space="preserve"> </v>
      </c>
      <c r="JD41" s="137" t="str">
        <f t="shared" si="20"/>
        <v xml:space="preserve"> </v>
      </c>
      <c r="JE41" s="137" t="str">
        <f t="shared" si="20"/>
        <v xml:space="preserve"> </v>
      </c>
      <c r="JF41" s="137" t="str">
        <f t="shared" si="20"/>
        <v xml:space="preserve"> </v>
      </c>
      <c r="JG41" s="137" t="str">
        <f t="shared" ref="JG41:LR41" si="21">IF(SUM(JG15:JG18)=0," ",(JG13+JG14)/(((JG15+JG16)*0.25)+(JG17+JG18)))</f>
        <v xml:space="preserve"> </v>
      </c>
      <c r="JH41" s="137" t="str">
        <f t="shared" si="21"/>
        <v xml:space="preserve"> </v>
      </c>
      <c r="JI41" s="137" t="str">
        <f t="shared" si="21"/>
        <v xml:space="preserve"> </v>
      </c>
      <c r="JJ41" s="137" t="str">
        <f t="shared" si="21"/>
        <v xml:space="preserve"> </v>
      </c>
      <c r="JK41" s="137" t="str">
        <f t="shared" si="21"/>
        <v xml:space="preserve"> </v>
      </c>
      <c r="JL41" s="137" t="str">
        <f t="shared" si="21"/>
        <v xml:space="preserve"> </v>
      </c>
      <c r="JM41" s="137" t="str">
        <f t="shared" si="21"/>
        <v xml:space="preserve"> </v>
      </c>
      <c r="JN41" s="137" t="str">
        <f t="shared" si="21"/>
        <v xml:space="preserve"> </v>
      </c>
      <c r="JO41" s="137" t="str">
        <f t="shared" si="21"/>
        <v xml:space="preserve"> </v>
      </c>
      <c r="JP41" s="137" t="str">
        <f t="shared" si="21"/>
        <v xml:space="preserve"> </v>
      </c>
      <c r="JQ41" s="137" t="str">
        <f t="shared" si="21"/>
        <v xml:space="preserve"> </v>
      </c>
      <c r="JR41" s="137" t="str">
        <f t="shared" si="21"/>
        <v xml:space="preserve"> </v>
      </c>
      <c r="JS41" s="137" t="str">
        <f t="shared" si="21"/>
        <v xml:space="preserve"> </v>
      </c>
      <c r="JT41" s="137" t="str">
        <f t="shared" si="21"/>
        <v xml:space="preserve"> </v>
      </c>
      <c r="JU41" s="137" t="str">
        <f t="shared" si="21"/>
        <v xml:space="preserve"> </v>
      </c>
      <c r="JV41" s="137" t="str">
        <f t="shared" si="21"/>
        <v xml:space="preserve"> </v>
      </c>
      <c r="JW41" s="137" t="str">
        <f t="shared" si="21"/>
        <v xml:space="preserve"> </v>
      </c>
      <c r="JX41" s="137" t="str">
        <f t="shared" si="21"/>
        <v xml:space="preserve"> </v>
      </c>
      <c r="JY41" s="137" t="str">
        <f t="shared" si="21"/>
        <v xml:space="preserve"> </v>
      </c>
      <c r="JZ41" s="137" t="str">
        <f t="shared" si="21"/>
        <v xml:space="preserve"> </v>
      </c>
      <c r="KA41" s="137" t="str">
        <f t="shared" si="21"/>
        <v xml:space="preserve"> </v>
      </c>
      <c r="KB41" s="137" t="str">
        <f t="shared" si="21"/>
        <v xml:space="preserve"> </v>
      </c>
      <c r="KC41" s="137" t="str">
        <f t="shared" si="21"/>
        <v xml:space="preserve"> </v>
      </c>
      <c r="KD41" s="137" t="str">
        <f t="shared" si="21"/>
        <v xml:space="preserve"> </v>
      </c>
      <c r="KE41" s="137" t="str">
        <f t="shared" si="21"/>
        <v xml:space="preserve"> </v>
      </c>
      <c r="KF41" s="137" t="str">
        <f t="shared" si="21"/>
        <v xml:space="preserve"> </v>
      </c>
      <c r="KG41" s="137" t="str">
        <f t="shared" si="21"/>
        <v xml:space="preserve"> </v>
      </c>
      <c r="KH41" s="137" t="str">
        <f t="shared" si="21"/>
        <v xml:space="preserve"> </v>
      </c>
      <c r="KI41" s="137" t="str">
        <f t="shared" si="21"/>
        <v xml:space="preserve"> </v>
      </c>
      <c r="KJ41" s="137" t="str">
        <f t="shared" si="21"/>
        <v xml:space="preserve"> </v>
      </c>
      <c r="KK41" s="137" t="str">
        <f t="shared" si="21"/>
        <v xml:space="preserve"> </v>
      </c>
      <c r="KL41" s="137" t="str">
        <f t="shared" si="21"/>
        <v xml:space="preserve"> </v>
      </c>
      <c r="KM41" s="137" t="str">
        <f t="shared" si="21"/>
        <v xml:space="preserve"> </v>
      </c>
      <c r="KN41" s="137" t="str">
        <f t="shared" si="21"/>
        <v xml:space="preserve"> </v>
      </c>
      <c r="KO41" s="137" t="str">
        <f t="shared" si="21"/>
        <v xml:space="preserve"> </v>
      </c>
      <c r="KP41" s="137" t="str">
        <f t="shared" si="21"/>
        <v xml:space="preserve"> </v>
      </c>
      <c r="KQ41" s="137" t="str">
        <f t="shared" si="21"/>
        <v xml:space="preserve"> </v>
      </c>
      <c r="KR41" s="137" t="str">
        <f t="shared" si="21"/>
        <v xml:space="preserve"> </v>
      </c>
      <c r="KS41" s="137" t="str">
        <f t="shared" si="21"/>
        <v xml:space="preserve"> </v>
      </c>
      <c r="KT41" s="137" t="str">
        <f t="shared" si="21"/>
        <v xml:space="preserve"> </v>
      </c>
      <c r="KU41" s="137" t="str">
        <f t="shared" si="21"/>
        <v xml:space="preserve"> </v>
      </c>
      <c r="KV41" s="137" t="str">
        <f t="shared" si="21"/>
        <v xml:space="preserve"> </v>
      </c>
      <c r="KW41" s="137" t="str">
        <f t="shared" si="21"/>
        <v xml:space="preserve"> </v>
      </c>
      <c r="KX41" s="137" t="str">
        <f t="shared" si="21"/>
        <v xml:space="preserve"> </v>
      </c>
      <c r="KY41" s="137" t="str">
        <f t="shared" si="21"/>
        <v xml:space="preserve"> </v>
      </c>
      <c r="KZ41" s="137" t="str">
        <f t="shared" si="21"/>
        <v xml:space="preserve"> </v>
      </c>
      <c r="LA41" s="137" t="str">
        <f t="shared" si="21"/>
        <v xml:space="preserve"> </v>
      </c>
      <c r="LB41" s="137" t="str">
        <f t="shared" si="21"/>
        <v xml:space="preserve"> </v>
      </c>
      <c r="LC41" s="137" t="str">
        <f t="shared" si="21"/>
        <v xml:space="preserve"> </v>
      </c>
      <c r="LD41" s="137" t="str">
        <f t="shared" si="21"/>
        <v xml:space="preserve"> </v>
      </c>
      <c r="LE41" s="137" t="str">
        <f t="shared" si="21"/>
        <v xml:space="preserve"> </v>
      </c>
      <c r="LF41" s="137" t="str">
        <f t="shared" si="21"/>
        <v xml:space="preserve"> </v>
      </c>
      <c r="LG41" s="137" t="str">
        <f t="shared" si="21"/>
        <v xml:space="preserve"> </v>
      </c>
      <c r="LH41" s="137" t="str">
        <f t="shared" si="21"/>
        <v xml:space="preserve"> </v>
      </c>
      <c r="LI41" s="137" t="str">
        <f t="shared" si="21"/>
        <v xml:space="preserve"> </v>
      </c>
      <c r="LJ41" s="137" t="str">
        <f t="shared" si="21"/>
        <v xml:space="preserve"> </v>
      </c>
      <c r="LK41" s="137" t="str">
        <f t="shared" si="21"/>
        <v xml:space="preserve"> </v>
      </c>
      <c r="LL41" s="137" t="str">
        <f t="shared" si="21"/>
        <v xml:space="preserve"> </v>
      </c>
      <c r="LM41" s="137" t="str">
        <f t="shared" si="21"/>
        <v xml:space="preserve"> </v>
      </c>
      <c r="LN41" s="137" t="str">
        <f t="shared" si="21"/>
        <v xml:space="preserve"> </v>
      </c>
      <c r="LO41" s="137" t="str">
        <f t="shared" si="21"/>
        <v xml:space="preserve"> </v>
      </c>
      <c r="LP41" s="137" t="str">
        <f t="shared" si="21"/>
        <v xml:space="preserve"> </v>
      </c>
      <c r="LQ41" s="137" t="str">
        <f t="shared" si="21"/>
        <v xml:space="preserve"> </v>
      </c>
      <c r="LR41" s="137" t="str">
        <f t="shared" si="21"/>
        <v xml:space="preserve"> </v>
      </c>
      <c r="LS41" s="137" t="str">
        <f t="shared" ref="LS41:ND41" si="22">IF(SUM(LS15:LS18)=0," ",(LS13+LS14)/(((LS15+LS16)*0.25)+(LS17+LS18)))</f>
        <v xml:space="preserve"> </v>
      </c>
      <c r="LT41" s="137" t="str">
        <f t="shared" si="22"/>
        <v xml:space="preserve"> </v>
      </c>
      <c r="LU41" s="137" t="str">
        <f t="shared" si="22"/>
        <v xml:space="preserve"> </v>
      </c>
      <c r="LV41" s="137" t="str">
        <f t="shared" si="22"/>
        <v xml:space="preserve"> </v>
      </c>
      <c r="LW41" s="137" t="str">
        <f t="shared" si="22"/>
        <v xml:space="preserve"> </v>
      </c>
      <c r="LX41" s="137" t="str">
        <f t="shared" si="22"/>
        <v xml:space="preserve"> </v>
      </c>
      <c r="LY41" s="137" t="str">
        <f t="shared" si="22"/>
        <v xml:space="preserve"> </v>
      </c>
      <c r="LZ41" s="137" t="str">
        <f t="shared" si="22"/>
        <v xml:space="preserve"> </v>
      </c>
      <c r="MA41" s="137" t="str">
        <f t="shared" si="22"/>
        <v xml:space="preserve"> </v>
      </c>
      <c r="MB41" s="137" t="str">
        <f t="shared" si="22"/>
        <v xml:space="preserve"> </v>
      </c>
      <c r="MC41" s="137" t="str">
        <f t="shared" si="22"/>
        <v xml:space="preserve"> </v>
      </c>
      <c r="MD41" s="137" t="str">
        <f t="shared" si="22"/>
        <v xml:space="preserve"> </v>
      </c>
      <c r="ME41" s="137" t="str">
        <f t="shared" si="22"/>
        <v xml:space="preserve"> </v>
      </c>
      <c r="MF41" s="137" t="str">
        <f t="shared" si="22"/>
        <v xml:space="preserve"> </v>
      </c>
      <c r="MG41" s="137" t="str">
        <f t="shared" si="22"/>
        <v xml:space="preserve"> </v>
      </c>
      <c r="MH41" s="137" t="str">
        <f t="shared" si="22"/>
        <v xml:space="preserve"> </v>
      </c>
      <c r="MI41" s="137" t="str">
        <f t="shared" si="22"/>
        <v xml:space="preserve"> </v>
      </c>
      <c r="MJ41" s="137" t="str">
        <f t="shared" si="22"/>
        <v xml:space="preserve"> </v>
      </c>
      <c r="MK41" s="137" t="str">
        <f t="shared" si="22"/>
        <v xml:space="preserve"> </v>
      </c>
      <c r="ML41" s="137" t="str">
        <f t="shared" si="22"/>
        <v xml:space="preserve"> </v>
      </c>
      <c r="MM41" s="137" t="str">
        <f t="shared" si="22"/>
        <v xml:space="preserve"> </v>
      </c>
      <c r="MN41" s="137" t="str">
        <f t="shared" si="22"/>
        <v xml:space="preserve"> </v>
      </c>
      <c r="MO41" s="137" t="str">
        <f t="shared" si="22"/>
        <v xml:space="preserve"> </v>
      </c>
      <c r="MP41" s="137" t="str">
        <f t="shared" si="22"/>
        <v xml:space="preserve"> </v>
      </c>
      <c r="MQ41" s="137" t="str">
        <f t="shared" si="22"/>
        <v xml:space="preserve"> </v>
      </c>
      <c r="MR41" s="137" t="str">
        <f t="shared" si="22"/>
        <v xml:space="preserve"> </v>
      </c>
      <c r="MS41" s="137" t="str">
        <f t="shared" si="22"/>
        <v xml:space="preserve"> </v>
      </c>
      <c r="MT41" s="137" t="str">
        <f t="shared" si="22"/>
        <v xml:space="preserve"> </v>
      </c>
      <c r="MU41" s="137" t="str">
        <f t="shared" si="22"/>
        <v xml:space="preserve"> </v>
      </c>
      <c r="MV41" s="137" t="str">
        <f t="shared" si="22"/>
        <v xml:space="preserve"> </v>
      </c>
      <c r="MW41" s="137" t="str">
        <f t="shared" si="22"/>
        <v xml:space="preserve"> </v>
      </c>
      <c r="MX41" s="137" t="str">
        <f t="shared" si="22"/>
        <v xml:space="preserve"> </v>
      </c>
      <c r="MY41" s="137" t="str">
        <f t="shared" si="22"/>
        <v xml:space="preserve"> </v>
      </c>
      <c r="MZ41" s="137" t="str">
        <f t="shared" si="22"/>
        <v xml:space="preserve"> </v>
      </c>
      <c r="NA41" s="137" t="str">
        <f t="shared" si="22"/>
        <v xml:space="preserve"> </v>
      </c>
      <c r="NB41" s="137" t="str">
        <f t="shared" si="22"/>
        <v xml:space="preserve"> </v>
      </c>
      <c r="NC41" s="137" t="str">
        <f t="shared" si="22"/>
        <v xml:space="preserve"> </v>
      </c>
      <c r="ND41" s="137" t="str">
        <f t="shared" si="22"/>
        <v xml:space="preserve"> </v>
      </c>
      <c r="NE41" s="137" t="str">
        <f t="shared" ref="NE41" si="23">IF(SUM(NE15:NE18)=0," ",(NE13+NE14)/(((NE15+NE16)*0.25)+(NE17+NE18)))</f>
        <v xml:space="preserve"> </v>
      </c>
    </row>
    <row r="42" spans="1:369" x14ac:dyDescent="0.2">
      <c r="A42" s="17" t="s">
        <v>26</v>
      </c>
      <c r="B42" s="215"/>
      <c r="C42" s="137" t="str">
        <f t="shared" ref="C42:BN42" si="24">IF(SUM(C19:C20)=0," ",(C19+C20)/(C21+(C22*0.46)+(C23*0.15)+(C24*0.46)))</f>
        <v xml:space="preserve"> </v>
      </c>
      <c r="D42" s="137">
        <f t="shared" si="24"/>
        <v>0.54231044715031207</v>
      </c>
      <c r="E42" s="137">
        <f t="shared" si="24"/>
        <v>0.59616072493144145</v>
      </c>
      <c r="F42" s="137" t="str">
        <f t="shared" si="24"/>
        <v xml:space="preserve"> </v>
      </c>
      <c r="G42" s="137" t="str">
        <f t="shared" si="24"/>
        <v xml:space="preserve"> </v>
      </c>
      <c r="H42" s="137" t="str">
        <f t="shared" si="24"/>
        <v xml:space="preserve"> </v>
      </c>
      <c r="I42" s="137" t="str">
        <f t="shared" si="24"/>
        <v xml:space="preserve"> </v>
      </c>
      <c r="J42" s="137">
        <f t="shared" si="24"/>
        <v>0.52356020942408377</v>
      </c>
      <c r="K42" s="137" t="str">
        <f t="shared" si="24"/>
        <v xml:space="preserve"> </v>
      </c>
      <c r="L42" s="137">
        <f t="shared" si="24"/>
        <v>0.54114158636026688</v>
      </c>
      <c r="M42" s="137">
        <f t="shared" si="24"/>
        <v>0.53191489361702127</v>
      </c>
      <c r="N42" s="137">
        <f t="shared" si="24"/>
        <v>0.7727179064496188</v>
      </c>
      <c r="O42" s="137" t="str">
        <f t="shared" si="24"/>
        <v xml:space="preserve"> </v>
      </c>
      <c r="P42" s="137" t="str">
        <f t="shared" si="24"/>
        <v xml:space="preserve"> </v>
      </c>
      <c r="Q42" s="137">
        <f t="shared" si="24"/>
        <v>0.52772980234120126</v>
      </c>
      <c r="R42" s="137">
        <f t="shared" si="24"/>
        <v>0.54321583775953641</v>
      </c>
      <c r="S42" s="137">
        <f t="shared" si="24"/>
        <v>0.54129561725161512</v>
      </c>
      <c r="T42" s="137">
        <f t="shared" si="24"/>
        <v>0.59544864992335811</v>
      </c>
      <c r="U42" s="137">
        <f t="shared" si="24"/>
        <v>0.53757225433526012</v>
      </c>
      <c r="V42" s="137" t="str">
        <f t="shared" si="24"/>
        <v xml:space="preserve"> </v>
      </c>
      <c r="W42" s="137" t="str">
        <f t="shared" si="24"/>
        <v xml:space="preserve"> </v>
      </c>
      <c r="X42" s="137" t="str">
        <f t="shared" si="24"/>
        <v xml:space="preserve"> </v>
      </c>
      <c r="Y42" s="137">
        <f t="shared" si="24"/>
        <v>0.51648351648351654</v>
      </c>
      <c r="Z42" s="137">
        <f t="shared" si="24"/>
        <v>0.49121481201587003</v>
      </c>
      <c r="AA42" s="137">
        <f t="shared" si="24"/>
        <v>0.73986386504883095</v>
      </c>
      <c r="AB42" s="137">
        <f t="shared" si="24"/>
        <v>0.52380952380952384</v>
      </c>
      <c r="AC42" s="137" t="str">
        <f t="shared" si="24"/>
        <v xml:space="preserve"> </v>
      </c>
      <c r="AD42" s="137" t="str">
        <f t="shared" si="24"/>
        <v xml:space="preserve"> </v>
      </c>
      <c r="AE42" s="137">
        <f t="shared" si="24"/>
        <v>0.51875000000000004</v>
      </c>
      <c r="AF42" s="137" t="str">
        <f t="shared" si="24"/>
        <v xml:space="preserve"> </v>
      </c>
      <c r="AG42" s="137">
        <f t="shared" si="24"/>
        <v>0.51829268292682928</v>
      </c>
      <c r="AH42" s="137">
        <f t="shared" si="24"/>
        <v>0.76086956521739124</v>
      </c>
      <c r="AI42" s="137">
        <f t="shared" si="24"/>
        <v>0.5357142857142857</v>
      </c>
      <c r="AJ42" s="137" t="str">
        <f t="shared" si="24"/>
        <v xml:space="preserve"> </v>
      </c>
      <c r="AK42" s="137" t="str">
        <f t="shared" si="24"/>
        <v xml:space="preserve"> </v>
      </c>
      <c r="AL42" s="137">
        <f t="shared" si="24"/>
        <v>0.52727272727272723</v>
      </c>
      <c r="AM42" s="137">
        <f t="shared" si="24"/>
        <v>0.6813996316758747</v>
      </c>
      <c r="AN42" s="137">
        <f t="shared" si="24"/>
        <v>0.52542372881355937</v>
      </c>
      <c r="AO42" s="137">
        <f t="shared" si="24"/>
        <v>0.52747252747252749</v>
      </c>
      <c r="AP42" s="137" t="e">
        <f>IF(SUM(AP19:AP21)=0," ",(#REF!+AP21)/(#REF!+(AP22*0.46)+(AP23*0.15)+(AP24*0.46)))</f>
        <v>#REF!</v>
      </c>
      <c r="AQ42" s="137" t="str">
        <f t="shared" si="24"/>
        <v xml:space="preserve"> </v>
      </c>
      <c r="AR42" s="137" t="str">
        <f t="shared" si="24"/>
        <v xml:space="preserve"> </v>
      </c>
      <c r="AS42" s="137">
        <f t="shared" si="24"/>
        <v>0.77639751552795022</v>
      </c>
      <c r="AT42" s="137">
        <f t="shared" si="24"/>
        <v>0.5178571428571429</v>
      </c>
      <c r="AU42" s="137" t="str">
        <f t="shared" si="24"/>
        <v xml:space="preserve"> </v>
      </c>
      <c r="AV42" s="137">
        <f t="shared" si="24"/>
        <v>0.56801195814648731</v>
      </c>
      <c r="AW42" s="137">
        <f t="shared" si="24"/>
        <v>0.65069378608980433</v>
      </c>
      <c r="AX42" s="137" t="str">
        <f t="shared" si="24"/>
        <v xml:space="preserve"> </v>
      </c>
      <c r="AY42" s="137" t="str">
        <f t="shared" si="24"/>
        <v xml:space="preserve"> </v>
      </c>
      <c r="AZ42" s="137" t="str">
        <f t="shared" si="24"/>
        <v xml:space="preserve"> </v>
      </c>
      <c r="BA42" s="137">
        <f t="shared" si="24"/>
        <v>0.5871241129320468</v>
      </c>
      <c r="BB42" s="137" t="str">
        <f t="shared" si="24"/>
        <v xml:space="preserve"> </v>
      </c>
      <c r="BC42" s="137">
        <f t="shared" si="24"/>
        <v>0.5436893203883495</v>
      </c>
      <c r="BD42" s="137">
        <f t="shared" si="24"/>
        <v>0.59507042253521125</v>
      </c>
      <c r="BE42" s="137" t="str">
        <f t="shared" si="24"/>
        <v xml:space="preserve"> </v>
      </c>
      <c r="BF42" s="137" t="str">
        <f t="shared" si="24"/>
        <v xml:space="preserve"> </v>
      </c>
      <c r="BG42" s="137" t="str">
        <f t="shared" si="24"/>
        <v xml:space="preserve"> </v>
      </c>
      <c r="BH42" s="137">
        <f t="shared" si="24"/>
        <v>0.62423051169622223</v>
      </c>
      <c r="BI42" s="137">
        <f t="shared" si="24"/>
        <v>0.51440329218106995</v>
      </c>
      <c r="BJ42" s="137">
        <f t="shared" si="24"/>
        <v>0.52742616033755274</v>
      </c>
      <c r="BK42" s="137">
        <f t="shared" si="24"/>
        <v>0.56390977443609025</v>
      </c>
      <c r="BL42" s="137" t="str">
        <f t="shared" si="24"/>
        <v xml:space="preserve"> </v>
      </c>
      <c r="BM42" s="137" t="str">
        <f t="shared" si="24"/>
        <v xml:space="preserve"> </v>
      </c>
      <c r="BN42" s="137" t="str">
        <f t="shared" si="24"/>
        <v xml:space="preserve"> </v>
      </c>
      <c r="BO42" s="137">
        <f t="shared" ref="BO42:DZ42" si="25">IF(SUM(BO19:BO20)=0," ",(BO19+BO20)/(BO21+(BO22*0.46)+(BO23*0.15)+(BO24*0.46)))</f>
        <v>0.54022988505747127</v>
      </c>
      <c r="BP42" s="137" t="str">
        <f t="shared" si="25"/>
        <v xml:space="preserve"> </v>
      </c>
      <c r="BQ42" s="137">
        <f t="shared" si="25"/>
        <v>0.69744176075460906</v>
      </c>
      <c r="BR42" s="137">
        <f t="shared" si="25"/>
        <v>0.51844171233891267</v>
      </c>
      <c r="BS42" s="137" t="str">
        <f t="shared" si="25"/>
        <v xml:space="preserve"> </v>
      </c>
      <c r="BT42" s="137" t="str">
        <f t="shared" si="25"/>
        <v xml:space="preserve"> </v>
      </c>
      <c r="BU42" s="137">
        <f t="shared" si="25"/>
        <v>0.55063291139240511</v>
      </c>
      <c r="BV42" s="137">
        <f t="shared" si="25"/>
        <v>0.51569506726457404</v>
      </c>
      <c r="BW42" s="137">
        <f t="shared" si="25"/>
        <v>0.52592592592592591</v>
      </c>
      <c r="BX42" s="137" t="str">
        <f t="shared" si="25"/>
        <v xml:space="preserve"> </v>
      </c>
      <c r="BY42" s="137">
        <f t="shared" si="25"/>
        <v>0.5246636771300448</v>
      </c>
      <c r="BZ42" s="137" t="str">
        <f t="shared" si="25"/>
        <v xml:space="preserve"> </v>
      </c>
      <c r="CA42" s="137" t="str">
        <f t="shared" si="25"/>
        <v xml:space="preserve"> </v>
      </c>
      <c r="CB42" s="137" t="str">
        <f t="shared" si="25"/>
        <v xml:space="preserve"> </v>
      </c>
      <c r="CC42" s="137">
        <f t="shared" si="25"/>
        <v>0.515625</v>
      </c>
      <c r="CD42" s="137">
        <f t="shared" si="25"/>
        <v>0.8222755505364201</v>
      </c>
      <c r="CE42" s="137">
        <f t="shared" si="25"/>
        <v>0.50742574257425743</v>
      </c>
      <c r="CF42" s="137">
        <f t="shared" si="25"/>
        <v>0.80321285140562249</v>
      </c>
      <c r="CG42" s="137" t="str">
        <f t="shared" si="25"/>
        <v xml:space="preserve"> </v>
      </c>
      <c r="CH42" s="137" t="str">
        <f t="shared" si="25"/>
        <v xml:space="preserve"> </v>
      </c>
      <c r="CI42" s="137">
        <f t="shared" si="25"/>
        <v>0.52542372881355937</v>
      </c>
      <c r="CJ42" s="137">
        <f t="shared" si="25"/>
        <v>0.50761421319796951</v>
      </c>
      <c r="CK42" s="137" t="str">
        <f t="shared" si="25"/>
        <v xml:space="preserve"> </v>
      </c>
      <c r="CL42" s="137">
        <f t="shared" si="25"/>
        <v>0.51657458563535907</v>
      </c>
      <c r="CM42" s="137">
        <f t="shared" si="25"/>
        <v>0.76093469143199521</v>
      </c>
      <c r="CN42" s="137" t="str">
        <f t="shared" si="25"/>
        <v xml:space="preserve"> </v>
      </c>
      <c r="CO42" s="137" t="str">
        <f t="shared" si="25"/>
        <v xml:space="preserve"> </v>
      </c>
      <c r="CP42" s="137">
        <f t="shared" si="25"/>
        <v>0.51470588235294112</v>
      </c>
      <c r="CQ42" s="137" t="str">
        <f t="shared" si="25"/>
        <v xml:space="preserve"> </v>
      </c>
      <c r="CR42" s="137">
        <f t="shared" si="25"/>
        <v>0.50904977375565608</v>
      </c>
      <c r="CS42" s="137">
        <f t="shared" si="25"/>
        <v>0.52857142857142858</v>
      </c>
      <c r="CT42" s="137" t="str">
        <f t="shared" si="25"/>
        <v xml:space="preserve"> </v>
      </c>
      <c r="CU42" s="137" t="str">
        <f t="shared" si="25"/>
        <v xml:space="preserve"> </v>
      </c>
      <c r="CV42" s="137" t="str">
        <f t="shared" si="25"/>
        <v xml:space="preserve"> </v>
      </c>
      <c r="CW42" s="137">
        <f t="shared" si="25"/>
        <v>0.52459016393442626</v>
      </c>
      <c r="CX42" s="137">
        <f t="shared" si="25"/>
        <v>0.56010437286305559</v>
      </c>
      <c r="CY42" s="137" t="str">
        <f t="shared" si="25"/>
        <v xml:space="preserve"> </v>
      </c>
      <c r="CZ42" s="137">
        <f t="shared" si="25"/>
        <v>0.50623441396508728</v>
      </c>
      <c r="DA42" s="137">
        <f t="shared" si="25"/>
        <v>0.53424657534246578</v>
      </c>
      <c r="DB42" s="137" t="str">
        <f t="shared" si="25"/>
        <v xml:space="preserve"> </v>
      </c>
      <c r="DC42" s="137" t="str">
        <f t="shared" si="25"/>
        <v xml:space="preserve"> </v>
      </c>
      <c r="DD42" s="137" t="str">
        <f t="shared" si="25"/>
        <v xml:space="preserve"> </v>
      </c>
      <c r="DE42" s="137">
        <f t="shared" si="25"/>
        <v>0.52083333333333337</v>
      </c>
      <c r="DF42" s="137">
        <f t="shared" si="25"/>
        <v>0.76311605723370435</v>
      </c>
      <c r="DG42" s="137">
        <f t="shared" si="25"/>
        <v>0.52459016393442626</v>
      </c>
      <c r="DH42" s="137">
        <f t="shared" si="25"/>
        <v>0.5280898876404494</v>
      </c>
      <c r="DI42" s="137" t="str">
        <f>IF(SUM(DI19:DI19)=0," ",(#REF!+DI19)/(DI21+(DI22*0.46)+(DI23*0.15)+(DI24*0.46)))</f>
        <v xml:space="preserve"> </v>
      </c>
      <c r="DJ42" s="137" t="str">
        <f t="shared" si="25"/>
        <v xml:space="preserve"> </v>
      </c>
      <c r="DK42" s="137">
        <f t="shared" si="25"/>
        <v>0.53424657534246578</v>
      </c>
      <c r="DL42" s="137" t="str">
        <f t="shared" si="25"/>
        <v xml:space="preserve"> </v>
      </c>
      <c r="DM42" s="137">
        <f t="shared" si="25"/>
        <v>0.60705613483788023</v>
      </c>
      <c r="DN42" s="137" t="str">
        <f t="shared" si="25"/>
        <v xml:space="preserve"> </v>
      </c>
      <c r="DO42" s="137" t="str">
        <f t="shared" si="25"/>
        <v xml:space="preserve"> </v>
      </c>
      <c r="DP42" s="137" t="str">
        <f t="shared" si="25"/>
        <v xml:space="preserve"> </v>
      </c>
      <c r="DQ42" s="137" t="str">
        <f t="shared" si="25"/>
        <v xml:space="preserve"> </v>
      </c>
      <c r="DR42" s="137">
        <f t="shared" si="25"/>
        <v>0.63158993631903115</v>
      </c>
      <c r="DS42" s="137" t="str">
        <f t="shared" si="25"/>
        <v xml:space="preserve"> </v>
      </c>
      <c r="DT42" s="137">
        <f t="shared" si="25"/>
        <v>0.5220588235294118</v>
      </c>
      <c r="DU42" s="137" t="str">
        <f t="shared" si="25"/>
        <v xml:space="preserve"> </v>
      </c>
      <c r="DV42" s="137" t="str">
        <f t="shared" si="25"/>
        <v xml:space="preserve"> </v>
      </c>
      <c r="DW42" s="137" t="str">
        <f t="shared" si="25"/>
        <v xml:space="preserve"> </v>
      </c>
      <c r="DX42" s="137" t="str">
        <f t="shared" si="25"/>
        <v xml:space="preserve"> </v>
      </c>
      <c r="DY42" s="137" t="str">
        <f t="shared" si="25"/>
        <v xml:space="preserve"> </v>
      </c>
      <c r="DZ42" s="137" t="str">
        <f t="shared" si="25"/>
        <v xml:space="preserve"> </v>
      </c>
      <c r="EA42" s="137">
        <f t="shared" ref="EA42:GL42" si="26">IF(SUM(EA19:EA20)=0," ",(EA19+EA20)/(EA21+(EA22*0.46)+(EA23*0.15)+(EA24*0.46)))</f>
        <v>0.52577319587628868</v>
      </c>
      <c r="EB42" s="137" t="str">
        <f t="shared" si="26"/>
        <v xml:space="preserve"> </v>
      </c>
      <c r="EC42" s="137">
        <f t="shared" si="26"/>
        <v>0.52500000000000002</v>
      </c>
      <c r="ED42" s="137" t="str">
        <f t="shared" si="26"/>
        <v xml:space="preserve"> </v>
      </c>
      <c r="EE42" s="137" t="str">
        <f t="shared" si="26"/>
        <v xml:space="preserve"> </v>
      </c>
      <c r="EF42" s="137" t="str">
        <f t="shared" si="26"/>
        <v xml:space="preserve"> </v>
      </c>
      <c r="EG42" s="137">
        <f t="shared" si="26"/>
        <v>0.53097345132743368</v>
      </c>
      <c r="EH42" s="137" t="str">
        <f t="shared" si="26"/>
        <v xml:space="preserve"> </v>
      </c>
      <c r="EI42" s="137" t="str">
        <f t="shared" si="26"/>
        <v xml:space="preserve"> </v>
      </c>
      <c r="EJ42" s="137">
        <f t="shared" si="26"/>
        <v>0.52272727272727271</v>
      </c>
      <c r="EK42" s="137" t="str">
        <f t="shared" si="26"/>
        <v xml:space="preserve"> </v>
      </c>
      <c r="EL42" s="137" t="str">
        <f t="shared" si="26"/>
        <v xml:space="preserve"> </v>
      </c>
      <c r="EM42" s="137">
        <f t="shared" si="26"/>
        <v>0.5357142857142857</v>
      </c>
      <c r="EN42" s="137" t="str">
        <f t="shared" si="26"/>
        <v xml:space="preserve"> </v>
      </c>
      <c r="EO42" s="137">
        <f t="shared" si="26"/>
        <v>0.6772835438403807</v>
      </c>
      <c r="EP42" s="137" t="str">
        <f t="shared" si="26"/>
        <v xml:space="preserve"> </v>
      </c>
      <c r="EQ42" s="137" t="str">
        <f t="shared" si="26"/>
        <v xml:space="preserve"> </v>
      </c>
      <c r="ER42" s="137" t="str">
        <f t="shared" si="26"/>
        <v xml:space="preserve"> </v>
      </c>
      <c r="ES42" s="137" t="str">
        <f t="shared" si="26"/>
        <v xml:space="preserve"> </v>
      </c>
      <c r="ET42" s="137">
        <f t="shared" si="26"/>
        <v>0.59961151929735668</v>
      </c>
      <c r="EU42" s="137" t="str">
        <f t="shared" si="26"/>
        <v xml:space="preserve"> </v>
      </c>
      <c r="EV42" s="137">
        <f t="shared" si="26"/>
        <v>0.53480953274535559</v>
      </c>
      <c r="EW42" s="137" t="str">
        <f t="shared" si="26"/>
        <v xml:space="preserve"> </v>
      </c>
      <c r="EX42" s="137">
        <f t="shared" si="26"/>
        <v>0.50335570469798652</v>
      </c>
      <c r="EY42" s="137" t="str">
        <f t="shared" si="26"/>
        <v xml:space="preserve"> </v>
      </c>
      <c r="EZ42" s="137" t="str">
        <f t="shared" si="26"/>
        <v xml:space="preserve"> </v>
      </c>
      <c r="FA42" s="137">
        <f t="shared" si="26"/>
        <v>0.56198347107438018</v>
      </c>
      <c r="FB42" s="137" t="str">
        <f t="shared" si="26"/>
        <v xml:space="preserve"> </v>
      </c>
      <c r="FC42" s="137">
        <f t="shared" si="26"/>
        <v>0.64246139337498531</v>
      </c>
      <c r="FD42" s="137">
        <f t="shared" si="26"/>
        <v>0.5112107623318386</v>
      </c>
      <c r="FE42" s="137" t="str">
        <f t="shared" si="26"/>
        <v xml:space="preserve"> </v>
      </c>
      <c r="FF42" s="137" t="str">
        <f t="shared" si="26"/>
        <v xml:space="preserve"> </v>
      </c>
      <c r="FG42" s="137" t="str">
        <f t="shared" si="26"/>
        <v xml:space="preserve"> </v>
      </c>
      <c r="FH42" s="137">
        <f t="shared" si="26"/>
        <v>0.5178571428571429</v>
      </c>
      <c r="FI42" s="137">
        <f t="shared" si="26"/>
        <v>0.52500000000000002</v>
      </c>
      <c r="FJ42" s="137">
        <f t="shared" si="26"/>
        <v>0.51478557052175256</v>
      </c>
      <c r="FK42" s="137">
        <f t="shared" si="26"/>
        <v>0.51413881748071977</v>
      </c>
      <c r="FL42" s="137" t="str">
        <f t="shared" si="26"/>
        <v xml:space="preserve"> </v>
      </c>
      <c r="FM42" s="137" t="str">
        <f t="shared" si="26"/>
        <v xml:space="preserve"> </v>
      </c>
      <c r="FN42" s="137" t="str">
        <f t="shared" si="26"/>
        <v xml:space="preserve"> </v>
      </c>
      <c r="FO42" s="137" t="str">
        <f t="shared" si="26"/>
        <v xml:space="preserve"> </v>
      </c>
      <c r="FP42" s="137" t="str">
        <f t="shared" si="26"/>
        <v xml:space="preserve"> </v>
      </c>
      <c r="FQ42" s="137" t="str">
        <f t="shared" si="26"/>
        <v xml:space="preserve"> </v>
      </c>
      <c r="FR42" s="137" t="str">
        <f t="shared" si="26"/>
        <v xml:space="preserve"> </v>
      </c>
      <c r="FS42" s="137" t="str">
        <f t="shared" si="26"/>
        <v xml:space="preserve"> </v>
      </c>
      <c r="FT42" s="137" t="str">
        <f t="shared" si="26"/>
        <v xml:space="preserve"> </v>
      </c>
      <c r="FU42" s="137" t="str">
        <f t="shared" si="26"/>
        <v xml:space="preserve"> </v>
      </c>
      <c r="FV42" s="137" t="str">
        <f t="shared" si="26"/>
        <v xml:space="preserve"> </v>
      </c>
      <c r="FW42" s="137" t="str">
        <f t="shared" si="26"/>
        <v xml:space="preserve"> </v>
      </c>
      <c r="FX42" s="137" t="str">
        <f t="shared" si="26"/>
        <v xml:space="preserve"> </v>
      </c>
      <c r="FY42" s="137" t="str">
        <f t="shared" si="26"/>
        <v xml:space="preserve"> </v>
      </c>
      <c r="FZ42" s="137" t="str">
        <f t="shared" si="26"/>
        <v xml:space="preserve"> </v>
      </c>
      <c r="GA42" s="137" t="str">
        <f t="shared" si="26"/>
        <v xml:space="preserve"> </v>
      </c>
      <c r="GB42" s="137" t="str">
        <f t="shared" si="26"/>
        <v xml:space="preserve"> </v>
      </c>
      <c r="GC42" s="137" t="str">
        <f t="shared" si="26"/>
        <v xml:space="preserve"> </v>
      </c>
      <c r="GD42" s="137" t="str">
        <f t="shared" si="26"/>
        <v xml:space="preserve"> </v>
      </c>
      <c r="GE42" s="137" t="str">
        <f t="shared" si="26"/>
        <v xml:space="preserve"> </v>
      </c>
      <c r="GF42" s="137" t="str">
        <f t="shared" si="26"/>
        <v xml:space="preserve"> </v>
      </c>
      <c r="GG42" s="137" t="str">
        <f t="shared" si="26"/>
        <v xml:space="preserve"> </v>
      </c>
      <c r="GH42" s="137" t="str">
        <f t="shared" si="26"/>
        <v xml:space="preserve"> </v>
      </c>
      <c r="GI42" s="137" t="str">
        <f t="shared" si="26"/>
        <v xml:space="preserve"> </v>
      </c>
      <c r="GJ42" s="137" t="str">
        <f t="shared" si="26"/>
        <v xml:space="preserve"> </v>
      </c>
      <c r="GK42" s="137" t="str">
        <f t="shared" si="26"/>
        <v xml:space="preserve"> </v>
      </c>
      <c r="GL42" s="137" t="str">
        <f t="shared" si="26"/>
        <v xml:space="preserve"> </v>
      </c>
      <c r="GM42" s="137" t="str">
        <f t="shared" ref="GM42:IX42" si="27">IF(SUM(GM19:GM20)=0," ",(GM19+GM20)/(GM21+(GM22*0.46)+(GM23*0.15)+(GM24*0.46)))</f>
        <v xml:space="preserve"> </v>
      </c>
      <c r="GN42" s="137" t="str">
        <f t="shared" si="27"/>
        <v xml:space="preserve"> </v>
      </c>
      <c r="GO42" s="137" t="str">
        <f t="shared" si="27"/>
        <v xml:space="preserve"> </v>
      </c>
      <c r="GP42" s="137" t="str">
        <f t="shared" si="27"/>
        <v xml:space="preserve"> </v>
      </c>
      <c r="GQ42" s="137" t="str">
        <f t="shared" si="27"/>
        <v xml:space="preserve"> </v>
      </c>
      <c r="GR42" s="137" t="str">
        <f t="shared" si="27"/>
        <v xml:space="preserve"> </v>
      </c>
      <c r="GS42" s="137" t="str">
        <f t="shared" si="27"/>
        <v xml:space="preserve"> </v>
      </c>
      <c r="GT42" s="137" t="str">
        <f t="shared" si="27"/>
        <v xml:space="preserve"> </v>
      </c>
      <c r="GU42" s="137" t="str">
        <f t="shared" si="27"/>
        <v xml:space="preserve"> </v>
      </c>
      <c r="GV42" s="137" t="str">
        <f t="shared" si="27"/>
        <v xml:space="preserve"> </v>
      </c>
      <c r="GW42" s="137" t="str">
        <f t="shared" si="27"/>
        <v xml:space="preserve"> </v>
      </c>
      <c r="GX42" s="137" t="str">
        <f t="shared" si="27"/>
        <v xml:space="preserve"> </v>
      </c>
      <c r="GY42" s="137" t="str">
        <f t="shared" si="27"/>
        <v xml:space="preserve"> </v>
      </c>
      <c r="GZ42" s="137" t="str">
        <f t="shared" si="27"/>
        <v xml:space="preserve"> </v>
      </c>
      <c r="HA42" s="137" t="str">
        <f t="shared" si="27"/>
        <v xml:space="preserve"> </v>
      </c>
      <c r="HB42" s="137" t="str">
        <f t="shared" si="27"/>
        <v xml:space="preserve"> </v>
      </c>
      <c r="HC42" s="137" t="str">
        <f t="shared" si="27"/>
        <v xml:space="preserve"> </v>
      </c>
      <c r="HD42" s="137" t="str">
        <f t="shared" si="27"/>
        <v xml:space="preserve"> </v>
      </c>
      <c r="HE42" s="137" t="str">
        <f t="shared" si="27"/>
        <v xml:space="preserve"> </v>
      </c>
      <c r="HF42" s="137" t="str">
        <f t="shared" si="27"/>
        <v xml:space="preserve"> </v>
      </c>
      <c r="HG42" s="137" t="str">
        <f t="shared" si="27"/>
        <v xml:space="preserve"> </v>
      </c>
      <c r="HH42" s="137" t="str">
        <f t="shared" si="27"/>
        <v xml:space="preserve"> </v>
      </c>
      <c r="HI42" s="137" t="str">
        <f t="shared" si="27"/>
        <v xml:space="preserve"> </v>
      </c>
      <c r="HJ42" s="137" t="str">
        <f t="shared" si="27"/>
        <v xml:space="preserve"> </v>
      </c>
      <c r="HK42" s="137" t="str">
        <f t="shared" si="27"/>
        <v xml:space="preserve"> </v>
      </c>
      <c r="HL42" s="137" t="str">
        <f t="shared" si="27"/>
        <v xml:space="preserve"> </v>
      </c>
      <c r="HM42" s="137" t="str">
        <f t="shared" si="27"/>
        <v xml:space="preserve"> </v>
      </c>
      <c r="HN42" s="137" t="str">
        <f t="shared" si="27"/>
        <v xml:space="preserve"> </v>
      </c>
      <c r="HO42" s="137" t="str">
        <f t="shared" si="27"/>
        <v xml:space="preserve"> </v>
      </c>
      <c r="HP42" s="137" t="str">
        <f t="shared" si="27"/>
        <v xml:space="preserve"> </v>
      </c>
      <c r="HQ42" s="137" t="str">
        <f t="shared" si="27"/>
        <v xml:space="preserve"> </v>
      </c>
      <c r="HR42" s="137" t="str">
        <f t="shared" si="27"/>
        <v xml:space="preserve"> </v>
      </c>
      <c r="HS42" s="137" t="str">
        <f t="shared" si="27"/>
        <v xml:space="preserve"> </v>
      </c>
      <c r="HT42" s="137" t="str">
        <f t="shared" si="27"/>
        <v xml:space="preserve"> </v>
      </c>
      <c r="HU42" s="137" t="str">
        <f t="shared" si="27"/>
        <v xml:space="preserve"> </v>
      </c>
      <c r="HV42" s="137" t="str">
        <f t="shared" si="27"/>
        <v xml:space="preserve"> </v>
      </c>
      <c r="HW42" s="137" t="str">
        <f t="shared" si="27"/>
        <v xml:space="preserve"> </v>
      </c>
      <c r="HX42" s="137" t="str">
        <f t="shared" si="27"/>
        <v xml:space="preserve"> </v>
      </c>
      <c r="HY42" s="137" t="str">
        <f t="shared" si="27"/>
        <v xml:space="preserve"> </v>
      </c>
      <c r="HZ42" s="137" t="str">
        <f t="shared" si="27"/>
        <v xml:space="preserve"> </v>
      </c>
      <c r="IA42" s="137" t="str">
        <f t="shared" si="27"/>
        <v xml:space="preserve"> </v>
      </c>
      <c r="IB42" s="137" t="str">
        <f t="shared" si="27"/>
        <v xml:space="preserve"> </v>
      </c>
      <c r="IC42" s="137" t="str">
        <f t="shared" si="27"/>
        <v xml:space="preserve"> </v>
      </c>
      <c r="ID42" s="137" t="str">
        <f t="shared" si="27"/>
        <v xml:space="preserve"> </v>
      </c>
      <c r="IE42" s="137" t="str">
        <f t="shared" si="27"/>
        <v xml:space="preserve"> </v>
      </c>
      <c r="IF42" s="137" t="str">
        <f t="shared" si="27"/>
        <v xml:space="preserve"> </v>
      </c>
      <c r="IG42" s="137" t="str">
        <f t="shared" si="27"/>
        <v xml:space="preserve"> </v>
      </c>
      <c r="IH42" s="137" t="str">
        <f t="shared" si="27"/>
        <v xml:space="preserve"> </v>
      </c>
      <c r="II42" s="137" t="str">
        <f t="shared" si="27"/>
        <v xml:space="preserve"> </v>
      </c>
      <c r="IJ42" s="137" t="str">
        <f t="shared" si="27"/>
        <v xml:space="preserve"> </v>
      </c>
      <c r="IK42" s="137" t="str">
        <f t="shared" si="27"/>
        <v xml:space="preserve"> </v>
      </c>
      <c r="IL42" s="137" t="str">
        <f t="shared" si="27"/>
        <v xml:space="preserve"> </v>
      </c>
      <c r="IM42" s="137" t="str">
        <f t="shared" si="27"/>
        <v xml:space="preserve"> </v>
      </c>
      <c r="IN42" s="137" t="str">
        <f t="shared" si="27"/>
        <v xml:space="preserve"> </v>
      </c>
      <c r="IO42" s="137" t="str">
        <f t="shared" si="27"/>
        <v xml:space="preserve"> </v>
      </c>
      <c r="IP42" s="137" t="str">
        <f t="shared" si="27"/>
        <v xml:space="preserve"> </v>
      </c>
      <c r="IQ42" s="137" t="str">
        <f t="shared" si="27"/>
        <v xml:space="preserve"> </v>
      </c>
      <c r="IR42" s="137" t="str">
        <f t="shared" si="27"/>
        <v xml:space="preserve"> </v>
      </c>
      <c r="IS42" s="137" t="str">
        <f t="shared" si="27"/>
        <v xml:space="preserve"> </v>
      </c>
      <c r="IT42" s="137" t="str">
        <f t="shared" si="27"/>
        <v xml:space="preserve"> </v>
      </c>
      <c r="IU42" s="137" t="str">
        <f t="shared" si="27"/>
        <v xml:space="preserve"> </v>
      </c>
      <c r="IV42" s="137" t="str">
        <f t="shared" si="27"/>
        <v xml:space="preserve"> </v>
      </c>
      <c r="IW42" s="137" t="str">
        <f t="shared" si="27"/>
        <v xml:space="preserve"> </v>
      </c>
      <c r="IX42" s="137" t="str">
        <f t="shared" si="27"/>
        <v xml:space="preserve"> </v>
      </c>
      <c r="IY42" s="137" t="str">
        <f t="shared" ref="IY42:LJ42" si="28">IF(SUM(IY19:IY20)=0," ",(IY19+IY20)/(IY21+(IY22*0.46)+(IY23*0.15)+(IY24*0.46)))</f>
        <v xml:space="preserve"> </v>
      </c>
      <c r="IZ42" s="137" t="str">
        <f t="shared" si="28"/>
        <v xml:space="preserve"> </v>
      </c>
      <c r="JA42" s="137" t="str">
        <f t="shared" si="28"/>
        <v xml:space="preserve"> </v>
      </c>
      <c r="JB42" s="137" t="str">
        <f t="shared" si="28"/>
        <v xml:space="preserve"> </v>
      </c>
      <c r="JC42" s="137" t="str">
        <f t="shared" si="28"/>
        <v xml:space="preserve"> </v>
      </c>
      <c r="JD42" s="137" t="str">
        <f t="shared" si="28"/>
        <v xml:space="preserve"> </v>
      </c>
      <c r="JE42" s="137" t="str">
        <f t="shared" si="28"/>
        <v xml:space="preserve"> </v>
      </c>
      <c r="JF42" s="137" t="str">
        <f t="shared" si="28"/>
        <v xml:space="preserve"> </v>
      </c>
      <c r="JG42" s="137" t="str">
        <f t="shared" si="28"/>
        <v xml:space="preserve"> </v>
      </c>
      <c r="JH42" s="137" t="str">
        <f t="shared" si="28"/>
        <v xml:space="preserve"> </v>
      </c>
      <c r="JI42" s="137" t="str">
        <f t="shared" si="28"/>
        <v xml:space="preserve"> </v>
      </c>
      <c r="JJ42" s="137" t="str">
        <f t="shared" si="28"/>
        <v xml:space="preserve"> </v>
      </c>
      <c r="JK42" s="137" t="str">
        <f t="shared" si="28"/>
        <v xml:space="preserve"> </v>
      </c>
      <c r="JL42" s="137" t="str">
        <f t="shared" si="28"/>
        <v xml:space="preserve"> </v>
      </c>
      <c r="JM42" s="137" t="str">
        <f t="shared" si="28"/>
        <v xml:space="preserve"> </v>
      </c>
      <c r="JN42" s="137" t="str">
        <f t="shared" si="28"/>
        <v xml:space="preserve"> </v>
      </c>
      <c r="JO42" s="137" t="str">
        <f t="shared" si="28"/>
        <v xml:space="preserve"> </v>
      </c>
      <c r="JP42" s="137" t="str">
        <f t="shared" si="28"/>
        <v xml:space="preserve"> </v>
      </c>
      <c r="JQ42" s="137" t="str">
        <f t="shared" si="28"/>
        <v xml:space="preserve"> </v>
      </c>
      <c r="JR42" s="137" t="str">
        <f t="shared" si="28"/>
        <v xml:space="preserve"> </v>
      </c>
      <c r="JS42" s="137" t="str">
        <f t="shared" si="28"/>
        <v xml:space="preserve"> </v>
      </c>
      <c r="JT42" s="137" t="str">
        <f t="shared" si="28"/>
        <v xml:space="preserve"> </v>
      </c>
      <c r="JU42" s="137" t="str">
        <f t="shared" si="28"/>
        <v xml:space="preserve"> </v>
      </c>
      <c r="JV42" s="137" t="str">
        <f t="shared" si="28"/>
        <v xml:space="preserve"> </v>
      </c>
      <c r="JW42" s="137" t="str">
        <f t="shared" si="28"/>
        <v xml:space="preserve"> </v>
      </c>
      <c r="JX42" s="137" t="str">
        <f t="shared" si="28"/>
        <v xml:space="preserve"> </v>
      </c>
      <c r="JY42" s="137" t="str">
        <f t="shared" si="28"/>
        <v xml:space="preserve"> </v>
      </c>
      <c r="JZ42" s="137" t="str">
        <f t="shared" si="28"/>
        <v xml:space="preserve"> </v>
      </c>
      <c r="KA42" s="137" t="str">
        <f t="shared" si="28"/>
        <v xml:space="preserve"> </v>
      </c>
      <c r="KB42" s="137" t="str">
        <f t="shared" si="28"/>
        <v xml:space="preserve"> </v>
      </c>
      <c r="KC42" s="137" t="str">
        <f t="shared" si="28"/>
        <v xml:space="preserve"> </v>
      </c>
      <c r="KD42" s="137" t="str">
        <f t="shared" si="28"/>
        <v xml:space="preserve"> </v>
      </c>
      <c r="KE42" s="137" t="str">
        <f t="shared" si="28"/>
        <v xml:space="preserve"> </v>
      </c>
      <c r="KF42" s="137" t="str">
        <f t="shared" si="28"/>
        <v xml:space="preserve"> </v>
      </c>
      <c r="KG42" s="137" t="str">
        <f t="shared" si="28"/>
        <v xml:space="preserve"> </v>
      </c>
      <c r="KH42" s="137" t="str">
        <f t="shared" si="28"/>
        <v xml:space="preserve"> </v>
      </c>
      <c r="KI42" s="137" t="str">
        <f t="shared" si="28"/>
        <v xml:space="preserve"> </v>
      </c>
      <c r="KJ42" s="137" t="str">
        <f t="shared" si="28"/>
        <v xml:space="preserve"> </v>
      </c>
      <c r="KK42" s="137" t="str">
        <f t="shared" si="28"/>
        <v xml:space="preserve"> </v>
      </c>
      <c r="KL42" s="137" t="str">
        <f t="shared" si="28"/>
        <v xml:space="preserve"> </v>
      </c>
      <c r="KM42" s="137" t="str">
        <f t="shared" si="28"/>
        <v xml:space="preserve"> </v>
      </c>
      <c r="KN42" s="137" t="str">
        <f t="shared" si="28"/>
        <v xml:space="preserve"> </v>
      </c>
      <c r="KO42" s="137" t="str">
        <f t="shared" si="28"/>
        <v xml:space="preserve"> </v>
      </c>
      <c r="KP42" s="137" t="str">
        <f t="shared" si="28"/>
        <v xml:space="preserve"> </v>
      </c>
      <c r="KQ42" s="137" t="str">
        <f t="shared" si="28"/>
        <v xml:space="preserve"> </v>
      </c>
      <c r="KR42" s="137" t="str">
        <f t="shared" si="28"/>
        <v xml:space="preserve"> </v>
      </c>
      <c r="KS42" s="137" t="str">
        <f t="shared" si="28"/>
        <v xml:space="preserve"> </v>
      </c>
      <c r="KT42" s="137" t="str">
        <f t="shared" si="28"/>
        <v xml:space="preserve"> </v>
      </c>
      <c r="KU42" s="137" t="str">
        <f t="shared" si="28"/>
        <v xml:space="preserve"> </v>
      </c>
      <c r="KV42" s="137" t="str">
        <f t="shared" si="28"/>
        <v xml:space="preserve"> </v>
      </c>
      <c r="KW42" s="137" t="str">
        <f t="shared" si="28"/>
        <v xml:space="preserve"> </v>
      </c>
      <c r="KX42" s="137" t="str">
        <f t="shared" si="28"/>
        <v xml:space="preserve"> </v>
      </c>
      <c r="KY42" s="137" t="str">
        <f t="shared" si="28"/>
        <v xml:space="preserve"> </v>
      </c>
      <c r="KZ42" s="137" t="str">
        <f t="shared" si="28"/>
        <v xml:space="preserve"> </v>
      </c>
      <c r="LA42" s="137" t="str">
        <f t="shared" si="28"/>
        <v xml:space="preserve"> </v>
      </c>
      <c r="LB42" s="137" t="str">
        <f t="shared" si="28"/>
        <v xml:space="preserve"> </v>
      </c>
      <c r="LC42" s="137" t="str">
        <f t="shared" si="28"/>
        <v xml:space="preserve"> </v>
      </c>
      <c r="LD42" s="137" t="str">
        <f t="shared" si="28"/>
        <v xml:space="preserve"> </v>
      </c>
      <c r="LE42" s="137" t="str">
        <f t="shared" si="28"/>
        <v xml:space="preserve"> </v>
      </c>
      <c r="LF42" s="137" t="str">
        <f t="shared" si="28"/>
        <v xml:space="preserve"> </v>
      </c>
      <c r="LG42" s="137" t="str">
        <f t="shared" si="28"/>
        <v xml:space="preserve"> </v>
      </c>
      <c r="LH42" s="137" t="str">
        <f t="shared" si="28"/>
        <v xml:space="preserve"> </v>
      </c>
      <c r="LI42" s="137" t="str">
        <f t="shared" si="28"/>
        <v xml:space="preserve"> </v>
      </c>
      <c r="LJ42" s="137" t="str">
        <f t="shared" si="28"/>
        <v xml:space="preserve"> </v>
      </c>
      <c r="LK42" s="137" t="str">
        <f t="shared" ref="LK42:ND42" si="29">IF(SUM(LK19:LK20)=0," ",(LK19+LK20)/(LK21+(LK22*0.46)+(LK23*0.15)+(LK24*0.46)))</f>
        <v xml:space="preserve"> </v>
      </c>
      <c r="LL42" s="137" t="str">
        <f t="shared" si="29"/>
        <v xml:space="preserve"> </v>
      </c>
      <c r="LM42" s="137" t="str">
        <f t="shared" si="29"/>
        <v xml:space="preserve"> </v>
      </c>
      <c r="LN42" s="137" t="str">
        <f t="shared" si="29"/>
        <v xml:space="preserve"> </v>
      </c>
      <c r="LO42" s="137" t="str">
        <f t="shared" si="29"/>
        <v xml:space="preserve"> </v>
      </c>
      <c r="LP42" s="137" t="str">
        <f t="shared" si="29"/>
        <v xml:space="preserve"> </v>
      </c>
      <c r="LQ42" s="137" t="str">
        <f t="shared" si="29"/>
        <v xml:space="preserve"> </v>
      </c>
      <c r="LR42" s="137" t="str">
        <f t="shared" si="29"/>
        <v xml:space="preserve"> </v>
      </c>
      <c r="LS42" s="137" t="str">
        <f t="shared" si="29"/>
        <v xml:space="preserve"> </v>
      </c>
      <c r="LT42" s="137" t="str">
        <f t="shared" si="29"/>
        <v xml:space="preserve"> </v>
      </c>
      <c r="LU42" s="137" t="str">
        <f t="shared" si="29"/>
        <v xml:space="preserve"> </v>
      </c>
      <c r="LV42" s="137" t="str">
        <f t="shared" si="29"/>
        <v xml:space="preserve"> </v>
      </c>
      <c r="LW42" s="137" t="str">
        <f t="shared" si="29"/>
        <v xml:space="preserve"> </v>
      </c>
      <c r="LX42" s="137" t="str">
        <f t="shared" si="29"/>
        <v xml:space="preserve"> </v>
      </c>
      <c r="LY42" s="137" t="str">
        <f t="shared" si="29"/>
        <v xml:space="preserve"> </v>
      </c>
      <c r="LZ42" s="137" t="str">
        <f t="shared" si="29"/>
        <v xml:space="preserve"> </v>
      </c>
      <c r="MA42" s="137" t="str">
        <f t="shared" si="29"/>
        <v xml:space="preserve"> </v>
      </c>
      <c r="MB42" s="137" t="str">
        <f t="shared" si="29"/>
        <v xml:space="preserve"> </v>
      </c>
      <c r="MC42" s="137" t="str">
        <f t="shared" si="29"/>
        <v xml:space="preserve"> </v>
      </c>
      <c r="MD42" s="137" t="str">
        <f t="shared" si="29"/>
        <v xml:space="preserve"> </v>
      </c>
      <c r="ME42" s="137" t="str">
        <f t="shared" si="29"/>
        <v xml:space="preserve"> </v>
      </c>
      <c r="MF42" s="137" t="str">
        <f t="shared" si="29"/>
        <v xml:space="preserve"> </v>
      </c>
      <c r="MG42" s="137" t="str">
        <f t="shared" si="29"/>
        <v xml:space="preserve"> </v>
      </c>
      <c r="MH42" s="137" t="str">
        <f t="shared" si="29"/>
        <v xml:space="preserve"> </v>
      </c>
      <c r="MI42" s="137" t="str">
        <f t="shared" si="29"/>
        <v xml:space="preserve"> </v>
      </c>
      <c r="MJ42" s="137" t="str">
        <f t="shared" si="29"/>
        <v xml:space="preserve"> </v>
      </c>
      <c r="MK42" s="137" t="str">
        <f t="shared" si="29"/>
        <v xml:space="preserve"> </v>
      </c>
      <c r="ML42" s="137" t="str">
        <f t="shared" si="29"/>
        <v xml:space="preserve"> </v>
      </c>
      <c r="MM42" s="137" t="str">
        <f t="shared" si="29"/>
        <v xml:space="preserve"> </v>
      </c>
      <c r="MN42" s="137" t="str">
        <f t="shared" si="29"/>
        <v xml:space="preserve"> </v>
      </c>
      <c r="MO42" s="137" t="str">
        <f t="shared" si="29"/>
        <v xml:space="preserve"> </v>
      </c>
      <c r="MP42" s="137" t="str">
        <f t="shared" si="29"/>
        <v xml:space="preserve"> </v>
      </c>
      <c r="MQ42" s="137" t="str">
        <f t="shared" si="29"/>
        <v xml:space="preserve"> </v>
      </c>
      <c r="MR42" s="137" t="str">
        <f t="shared" si="29"/>
        <v xml:space="preserve"> </v>
      </c>
      <c r="MS42" s="137" t="str">
        <f t="shared" si="29"/>
        <v xml:space="preserve"> </v>
      </c>
      <c r="MT42" s="137" t="str">
        <f t="shared" si="29"/>
        <v xml:space="preserve"> </v>
      </c>
      <c r="MU42" s="137" t="str">
        <f t="shared" si="29"/>
        <v xml:space="preserve"> </v>
      </c>
      <c r="MV42" s="137" t="str">
        <f t="shared" si="29"/>
        <v xml:space="preserve"> </v>
      </c>
      <c r="MW42" s="137" t="str">
        <f t="shared" si="29"/>
        <v xml:space="preserve"> </v>
      </c>
      <c r="MX42" s="137" t="str">
        <f t="shared" si="29"/>
        <v xml:space="preserve"> </v>
      </c>
      <c r="MY42" s="137" t="str">
        <f t="shared" si="29"/>
        <v xml:space="preserve"> </v>
      </c>
      <c r="MZ42" s="137" t="str">
        <f t="shared" si="29"/>
        <v xml:space="preserve"> </v>
      </c>
      <c r="NA42" s="137" t="str">
        <f t="shared" si="29"/>
        <v xml:space="preserve"> </v>
      </c>
      <c r="NB42" s="137" t="str">
        <f t="shared" si="29"/>
        <v xml:space="preserve"> </v>
      </c>
      <c r="NC42" s="137" t="str">
        <f t="shared" si="29"/>
        <v xml:space="preserve"> </v>
      </c>
      <c r="ND42" s="137" t="str">
        <f t="shared" si="29"/>
        <v xml:space="preserve"> </v>
      </c>
      <c r="NE42" s="137" t="str">
        <f t="shared" ref="NE42" si="30">IF(SUM(NE19:NE20)=0," ",(NE19+NE20)/(NE21+(NE22*0.46)+(NE23*0.15)+(NE24*0.46)))</f>
        <v xml:space="preserve"> </v>
      </c>
    </row>
    <row r="43" spans="1:369" x14ac:dyDescent="0.2">
      <c r="A43" s="17" t="s">
        <v>27</v>
      </c>
      <c r="B43" s="215"/>
      <c r="C43" s="137" t="str">
        <f t="shared" ref="C43:BN43" si="31">IF(SUM(C25:C26)=0," ",(C25+C26)/(C27+(C28*0.34)))</f>
        <v xml:space="preserve"> </v>
      </c>
      <c r="D43" s="137" t="str">
        <f t="shared" si="31"/>
        <v xml:space="preserve"> </v>
      </c>
      <c r="E43" s="137">
        <f t="shared" si="31"/>
        <v>20.497237569060772</v>
      </c>
      <c r="F43" s="137" t="str">
        <f t="shared" si="31"/>
        <v xml:space="preserve"> </v>
      </c>
      <c r="G43" s="137" t="str">
        <f t="shared" si="31"/>
        <v xml:space="preserve"> </v>
      </c>
      <c r="H43" s="137" t="str">
        <f t="shared" si="31"/>
        <v xml:space="preserve"> </v>
      </c>
      <c r="I43" s="137" t="str">
        <f t="shared" si="31"/>
        <v xml:space="preserve"> </v>
      </c>
      <c r="J43" s="137" t="str">
        <f t="shared" si="31"/>
        <v xml:space="preserve"> </v>
      </c>
      <c r="K43" s="137" t="str">
        <f t="shared" si="31"/>
        <v xml:space="preserve"> </v>
      </c>
      <c r="L43" s="137">
        <f t="shared" si="31"/>
        <v>0.62318238471125875</v>
      </c>
      <c r="M43" s="137" t="str">
        <f t="shared" si="31"/>
        <v xml:space="preserve"> </v>
      </c>
      <c r="N43" s="137" t="str">
        <f t="shared" si="31"/>
        <v xml:space="preserve"> </v>
      </c>
      <c r="O43" s="137" t="str">
        <f t="shared" si="31"/>
        <v xml:space="preserve"> </v>
      </c>
      <c r="P43" s="137" t="str">
        <f t="shared" si="31"/>
        <v xml:space="preserve"> </v>
      </c>
      <c r="Q43" s="137">
        <f t="shared" si="31"/>
        <v>0.64778950180312533</v>
      </c>
      <c r="R43" s="137" t="str">
        <f t="shared" si="31"/>
        <v xml:space="preserve"> </v>
      </c>
      <c r="S43" s="137">
        <f t="shared" si="31"/>
        <v>0.60849458439819881</v>
      </c>
      <c r="T43" s="137" t="str">
        <f t="shared" si="31"/>
        <v xml:space="preserve"> </v>
      </c>
      <c r="U43" s="137" t="str">
        <f t="shared" si="31"/>
        <v xml:space="preserve"> </v>
      </c>
      <c r="V43" s="137" t="str">
        <f t="shared" si="31"/>
        <v xml:space="preserve"> </v>
      </c>
      <c r="W43" s="137" t="str">
        <f t="shared" si="31"/>
        <v xml:space="preserve"> </v>
      </c>
      <c r="X43" s="137" t="str">
        <f t="shared" si="31"/>
        <v xml:space="preserve"> </v>
      </c>
      <c r="Y43" s="137" t="str">
        <f t="shared" si="31"/>
        <v xml:space="preserve"> </v>
      </c>
      <c r="Z43" s="137" t="str">
        <f t="shared" si="31"/>
        <v xml:space="preserve"> </v>
      </c>
      <c r="AA43" s="137">
        <f t="shared" si="31"/>
        <v>0.57704304429195252</v>
      </c>
      <c r="AB43" s="137" t="str">
        <f t="shared" si="31"/>
        <v xml:space="preserve"> </v>
      </c>
      <c r="AC43" s="137" t="str">
        <f t="shared" si="31"/>
        <v xml:space="preserve"> </v>
      </c>
      <c r="AD43" s="137" t="str">
        <f t="shared" si="31"/>
        <v xml:space="preserve"> </v>
      </c>
      <c r="AE43" s="137" t="str">
        <f t="shared" si="31"/>
        <v xml:space="preserve"> </v>
      </c>
      <c r="AF43" s="137" t="str">
        <f t="shared" si="31"/>
        <v xml:space="preserve"> </v>
      </c>
      <c r="AG43" s="137" t="str">
        <f t="shared" si="31"/>
        <v xml:space="preserve"> </v>
      </c>
      <c r="AH43" s="137">
        <f t="shared" si="31"/>
        <v>0.81447963800904966</v>
      </c>
      <c r="AI43" s="137">
        <f t="shared" si="31"/>
        <v>0.47058823529411764</v>
      </c>
      <c r="AJ43" s="137" t="str">
        <f t="shared" si="31"/>
        <v xml:space="preserve"> </v>
      </c>
      <c r="AK43" s="137" t="str">
        <f t="shared" si="31"/>
        <v xml:space="preserve"> </v>
      </c>
      <c r="AL43" s="137" t="str">
        <f t="shared" si="31"/>
        <v xml:space="preserve"> </v>
      </c>
      <c r="AM43" s="137" t="str">
        <f t="shared" si="31"/>
        <v xml:space="preserve"> </v>
      </c>
      <c r="AN43" s="137" t="str">
        <f t="shared" si="31"/>
        <v xml:space="preserve"> </v>
      </c>
      <c r="AO43" s="137">
        <f t="shared" si="31"/>
        <v>0.61576354679802958</v>
      </c>
      <c r="AP43" s="137" t="str">
        <f t="shared" si="31"/>
        <v xml:space="preserve"> </v>
      </c>
      <c r="AQ43" s="137" t="str">
        <f t="shared" si="31"/>
        <v xml:space="preserve"> </v>
      </c>
      <c r="AR43" s="137" t="str">
        <f t="shared" si="31"/>
        <v xml:space="preserve"> </v>
      </c>
      <c r="AS43" s="137" t="str">
        <f t="shared" si="31"/>
        <v xml:space="preserve"> </v>
      </c>
      <c r="AT43" s="137">
        <f t="shared" si="31"/>
        <v>0.58139534883720934</v>
      </c>
      <c r="AU43" s="137">
        <f t="shared" si="31"/>
        <v>0.70363073459048686</v>
      </c>
      <c r="AV43" s="137" t="str">
        <f t="shared" si="31"/>
        <v xml:space="preserve"> </v>
      </c>
      <c r="AW43" s="137" t="str">
        <f t="shared" si="31"/>
        <v xml:space="preserve"> </v>
      </c>
      <c r="AX43" s="137" t="str">
        <f t="shared" si="31"/>
        <v xml:space="preserve"> </v>
      </c>
      <c r="AY43" s="137" t="str">
        <f t="shared" si="31"/>
        <v xml:space="preserve"> </v>
      </c>
      <c r="AZ43" s="137" t="str">
        <f t="shared" si="31"/>
        <v xml:space="preserve"> </v>
      </c>
      <c r="BA43" s="137" t="str">
        <f t="shared" si="31"/>
        <v xml:space="preserve"> </v>
      </c>
      <c r="BB43" s="137">
        <f t="shared" si="31"/>
        <v>0.69900740947854045</v>
      </c>
      <c r="BC43" s="137" t="str">
        <f t="shared" si="31"/>
        <v xml:space="preserve"> </v>
      </c>
      <c r="BD43" s="137">
        <f t="shared" si="31"/>
        <v>0.55299539170506917</v>
      </c>
      <c r="BE43" s="137" t="str">
        <f t="shared" si="31"/>
        <v xml:space="preserve"> </v>
      </c>
      <c r="BF43" s="137" t="str">
        <f t="shared" si="31"/>
        <v xml:space="preserve"> </v>
      </c>
      <c r="BG43" s="137">
        <f t="shared" si="31"/>
        <v>0.90220137134608447</v>
      </c>
      <c r="BH43" s="137" t="str">
        <f t="shared" si="31"/>
        <v xml:space="preserve"> </v>
      </c>
      <c r="BI43" s="137" t="str">
        <f t="shared" si="31"/>
        <v xml:space="preserve"> </v>
      </c>
      <c r="BJ43" s="137">
        <f t="shared" si="31"/>
        <v>0.64151911726969468</v>
      </c>
      <c r="BK43" s="137">
        <f t="shared" si="31"/>
        <v>0.92554504319210196</v>
      </c>
      <c r="BL43" s="137" t="str">
        <f t="shared" si="31"/>
        <v xml:space="preserve"> </v>
      </c>
      <c r="BM43" s="137" t="str">
        <f t="shared" si="31"/>
        <v xml:space="preserve"> </v>
      </c>
      <c r="BN43" s="137" t="str">
        <f t="shared" si="31"/>
        <v xml:space="preserve"> </v>
      </c>
      <c r="BO43" s="137" t="str">
        <f t="shared" ref="BO43:DZ43" si="32">IF(SUM(BO25:BO26)=0," ",(BO25+BO26)/(BO27+(BO28*0.34)))</f>
        <v xml:space="preserve"> </v>
      </c>
      <c r="BP43" s="137">
        <f t="shared" si="32"/>
        <v>0.58661348037777905</v>
      </c>
      <c r="BQ43" s="137" t="str">
        <f t="shared" si="32"/>
        <v xml:space="preserve"> </v>
      </c>
      <c r="BR43" s="137" t="str">
        <f t="shared" si="32"/>
        <v xml:space="preserve"> </v>
      </c>
      <c r="BS43" s="137" t="str">
        <f t="shared" si="32"/>
        <v xml:space="preserve"> </v>
      </c>
      <c r="BT43" s="137" t="str">
        <f t="shared" si="32"/>
        <v xml:space="preserve"> </v>
      </c>
      <c r="BU43" s="137" t="str">
        <f t="shared" si="32"/>
        <v xml:space="preserve"> </v>
      </c>
      <c r="BV43" s="137">
        <f t="shared" si="32"/>
        <v>0.4784688995215311</v>
      </c>
      <c r="BW43" s="137" t="str">
        <f t="shared" si="32"/>
        <v xml:space="preserve"> </v>
      </c>
      <c r="BX43" s="137" t="str">
        <f t="shared" si="32"/>
        <v xml:space="preserve"> </v>
      </c>
      <c r="BY43" s="137" t="str">
        <f t="shared" si="32"/>
        <v xml:space="preserve"> </v>
      </c>
      <c r="BZ43" s="137" t="str">
        <f t="shared" si="32"/>
        <v xml:space="preserve"> </v>
      </c>
      <c r="CA43" s="137" t="str">
        <f t="shared" si="32"/>
        <v xml:space="preserve"> </v>
      </c>
      <c r="CB43" s="137">
        <f t="shared" si="32"/>
        <v>0.63536650615302293</v>
      </c>
      <c r="CC43" s="137" t="str">
        <f t="shared" si="32"/>
        <v xml:space="preserve"> </v>
      </c>
      <c r="CD43" s="137" t="str">
        <f t="shared" si="32"/>
        <v xml:space="preserve"> </v>
      </c>
      <c r="CE43" s="137" t="str">
        <f t="shared" si="32"/>
        <v xml:space="preserve"> </v>
      </c>
      <c r="CF43" s="137">
        <f t="shared" si="32"/>
        <v>0.73529411764705876</v>
      </c>
      <c r="CG43" s="137" t="str">
        <f t="shared" si="32"/>
        <v xml:space="preserve"> </v>
      </c>
      <c r="CH43" s="137" t="str">
        <f t="shared" si="32"/>
        <v xml:space="preserve"> </v>
      </c>
      <c r="CI43" s="137" t="str">
        <f t="shared" si="32"/>
        <v xml:space="preserve"> </v>
      </c>
      <c r="CJ43" s="137">
        <f t="shared" si="32"/>
        <v>0.48076923076923078</v>
      </c>
      <c r="CK43" s="137" t="str">
        <f t="shared" si="32"/>
        <v xml:space="preserve"> </v>
      </c>
      <c r="CL43" s="137" t="str">
        <f t="shared" si="32"/>
        <v xml:space="preserve"> </v>
      </c>
      <c r="CM43" s="137" t="str">
        <f t="shared" si="32"/>
        <v xml:space="preserve"> </v>
      </c>
      <c r="CN43" s="137" t="str">
        <f t="shared" si="32"/>
        <v xml:space="preserve"> </v>
      </c>
      <c r="CO43" s="137" t="str">
        <f t="shared" si="32"/>
        <v xml:space="preserve"> </v>
      </c>
      <c r="CP43" s="137" t="str">
        <f t="shared" si="32"/>
        <v xml:space="preserve"> </v>
      </c>
      <c r="CQ43" s="137">
        <f t="shared" si="32"/>
        <v>0.68827071981646104</v>
      </c>
      <c r="CR43" s="137" t="str">
        <f t="shared" si="32"/>
        <v xml:space="preserve"> </v>
      </c>
      <c r="CS43" s="137" t="str">
        <f t="shared" si="32"/>
        <v xml:space="preserve"> </v>
      </c>
      <c r="CT43" s="137" t="str">
        <f t="shared" si="32"/>
        <v xml:space="preserve"> </v>
      </c>
      <c r="CU43" s="137" t="str">
        <f t="shared" si="32"/>
        <v xml:space="preserve"> </v>
      </c>
      <c r="CV43" s="137" t="str">
        <f t="shared" si="32"/>
        <v xml:space="preserve"> </v>
      </c>
      <c r="CW43" s="137" t="str">
        <f t="shared" si="32"/>
        <v xml:space="preserve"> </v>
      </c>
      <c r="CX43" s="137" t="str">
        <f t="shared" si="32"/>
        <v xml:space="preserve"> </v>
      </c>
      <c r="CY43" s="137" t="str">
        <f t="shared" si="32"/>
        <v xml:space="preserve"> </v>
      </c>
      <c r="CZ43" s="137" t="str">
        <f t="shared" si="32"/>
        <v xml:space="preserve"> </v>
      </c>
      <c r="DA43" s="137">
        <f t="shared" si="32"/>
        <v>0.61965547155781386</v>
      </c>
      <c r="DB43" s="137" t="str">
        <f t="shared" si="32"/>
        <v xml:space="preserve"> </v>
      </c>
      <c r="DC43" s="137" t="str">
        <f t="shared" si="32"/>
        <v xml:space="preserve"> </v>
      </c>
      <c r="DD43" s="137" t="str">
        <f t="shared" si="32"/>
        <v xml:space="preserve"> </v>
      </c>
      <c r="DE43" s="137" t="str">
        <f t="shared" si="32"/>
        <v xml:space="preserve"> </v>
      </c>
      <c r="DF43" s="137">
        <f t="shared" si="32"/>
        <v>0.68357372342607137</v>
      </c>
      <c r="DG43" s="137" t="str">
        <f t="shared" si="32"/>
        <v xml:space="preserve"> </v>
      </c>
      <c r="DH43" s="137" t="str">
        <f t="shared" si="32"/>
        <v xml:space="preserve"> </v>
      </c>
      <c r="DI43" s="137" t="str">
        <f t="shared" si="32"/>
        <v xml:space="preserve"> </v>
      </c>
      <c r="DJ43" s="137" t="str">
        <f t="shared" si="32"/>
        <v xml:space="preserve"> </v>
      </c>
      <c r="DK43" s="137" t="str">
        <f t="shared" si="32"/>
        <v xml:space="preserve"> </v>
      </c>
      <c r="DL43" s="137" t="str">
        <f t="shared" si="32"/>
        <v xml:space="preserve"> </v>
      </c>
      <c r="DM43" s="137" t="str">
        <f t="shared" si="32"/>
        <v xml:space="preserve"> </v>
      </c>
      <c r="DN43" s="137" t="str">
        <f t="shared" si="32"/>
        <v xml:space="preserve"> </v>
      </c>
      <c r="DO43" s="137">
        <f t="shared" si="32"/>
        <v>0.6817562039814562</v>
      </c>
      <c r="DP43" s="137" t="str">
        <f t="shared" si="32"/>
        <v xml:space="preserve"> </v>
      </c>
      <c r="DQ43" s="137" t="str">
        <f t="shared" si="32"/>
        <v xml:space="preserve"> </v>
      </c>
      <c r="DR43" s="137">
        <f t="shared" si="32"/>
        <v>0.73670251952261667</v>
      </c>
      <c r="DS43" s="137">
        <f t="shared" si="32"/>
        <v>0.72077266830041797</v>
      </c>
      <c r="DT43" s="137" t="str">
        <f t="shared" si="32"/>
        <v xml:space="preserve"> </v>
      </c>
      <c r="DU43" s="137" t="str">
        <f t="shared" si="32"/>
        <v xml:space="preserve"> </v>
      </c>
      <c r="DV43" s="137" t="str">
        <f t="shared" si="32"/>
        <v xml:space="preserve"> </v>
      </c>
      <c r="DW43" s="137" t="str">
        <f t="shared" si="32"/>
        <v xml:space="preserve"> </v>
      </c>
      <c r="DX43" s="137" t="str">
        <f t="shared" si="32"/>
        <v xml:space="preserve"> </v>
      </c>
      <c r="DY43" s="137">
        <f t="shared" si="32"/>
        <v>0.75903947005244266</v>
      </c>
      <c r="DZ43" s="137" t="str">
        <f t="shared" si="32"/>
        <v xml:space="preserve"> </v>
      </c>
      <c r="EA43" s="137" t="str">
        <f t="shared" ref="EA43:GL43" si="33">IF(SUM(EA25:EA26)=0," ",(EA25+EA26)/(EA27+(EA28*0.34)))</f>
        <v xml:space="preserve"> </v>
      </c>
      <c r="EB43" s="137" t="str">
        <f t="shared" si="33"/>
        <v xml:space="preserve"> </v>
      </c>
      <c r="EC43" s="137" t="str">
        <f t="shared" si="33"/>
        <v xml:space="preserve"> </v>
      </c>
      <c r="ED43" s="137" t="str">
        <f t="shared" si="33"/>
        <v xml:space="preserve"> </v>
      </c>
      <c r="EE43" s="137" t="str">
        <f t="shared" si="33"/>
        <v xml:space="preserve"> </v>
      </c>
      <c r="EF43" s="137" t="str">
        <f t="shared" si="33"/>
        <v xml:space="preserve"> </v>
      </c>
      <c r="EG43" s="137" t="str">
        <f t="shared" si="33"/>
        <v xml:space="preserve"> </v>
      </c>
      <c r="EH43" s="137" t="str">
        <f t="shared" si="33"/>
        <v xml:space="preserve"> </v>
      </c>
      <c r="EI43" s="137" t="str">
        <f t="shared" si="33"/>
        <v xml:space="preserve"> </v>
      </c>
      <c r="EJ43" s="137" t="str">
        <f t="shared" si="33"/>
        <v xml:space="preserve"> </v>
      </c>
      <c r="EK43" s="137" t="str">
        <f t="shared" si="33"/>
        <v xml:space="preserve"> </v>
      </c>
      <c r="EL43" s="137" t="str">
        <f t="shared" si="33"/>
        <v xml:space="preserve"> </v>
      </c>
      <c r="EM43" s="137">
        <f t="shared" si="33"/>
        <v>0.81875993640699518</v>
      </c>
      <c r="EN43" s="137" t="str">
        <f t="shared" si="33"/>
        <v xml:space="preserve"> </v>
      </c>
      <c r="EO43" s="137" t="str">
        <f t="shared" si="33"/>
        <v xml:space="preserve"> </v>
      </c>
      <c r="EP43" s="137" t="str">
        <f t="shared" si="33"/>
        <v xml:space="preserve"> </v>
      </c>
      <c r="EQ43" s="137" t="str">
        <f t="shared" si="33"/>
        <v xml:space="preserve"> </v>
      </c>
      <c r="ER43" s="137" t="str">
        <f t="shared" si="33"/>
        <v xml:space="preserve"> </v>
      </c>
      <c r="ES43" s="137" t="str">
        <f t="shared" si="33"/>
        <v xml:space="preserve"> </v>
      </c>
      <c r="ET43" s="137" t="str">
        <f t="shared" si="33"/>
        <v xml:space="preserve"> </v>
      </c>
      <c r="EU43" s="137">
        <f t="shared" si="33"/>
        <v>0.49019607843137253</v>
      </c>
      <c r="EV43" s="137" t="str">
        <f t="shared" si="33"/>
        <v xml:space="preserve"> </v>
      </c>
      <c r="EW43" s="137" t="str">
        <f t="shared" si="33"/>
        <v xml:space="preserve"> </v>
      </c>
      <c r="EX43" s="137" t="str">
        <f t="shared" si="33"/>
        <v xml:space="preserve"> </v>
      </c>
      <c r="EY43" s="137" t="str">
        <f t="shared" si="33"/>
        <v xml:space="preserve"> </v>
      </c>
      <c r="EZ43" s="137" t="str">
        <f t="shared" si="33"/>
        <v xml:space="preserve"> </v>
      </c>
      <c r="FA43" s="137" t="str">
        <f t="shared" si="33"/>
        <v xml:space="preserve"> </v>
      </c>
      <c r="FB43" s="137">
        <f t="shared" si="33"/>
        <v>0.79036019694221293</v>
      </c>
      <c r="FC43" s="137" t="str">
        <f t="shared" si="33"/>
        <v xml:space="preserve"> </v>
      </c>
      <c r="FD43" s="137" t="str">
        <f t="shared" si="33"/>
        <v xml:space="preserve"> </v>
      </c>
      <c r="FE43" s="137" t="str">
        <f t="shared" si="33"/>
        <v xml:space="preserve"> </v>
      </c>
      <c r="FF43" s="137" t="str">
        <f t="shared" si="33"/>
        <v xml:space="preserve"> </v>
      </c>
      <c r="FG43" s="137" t="str">
        <f t="shared" si="33"/>
        <v xml:space="preserve"> </v>
      </c>
      <c r="FH43" s="137" t="str">
        <f t="shared" si="33"/>
        <v xml:space="preserve"> </v>
      </c>
      <c r="FI43" s="137" t="str">
        <f t="shared" si="33"/>
        <v xml:space="preserve"> </v>
      </c>
      <c r="FJ43" s="137" t="str">
        <f t="shared" si="33"/>
        <v xml:space="preserve"> </v>
      </c>
      <c r="FK43" s="137" t="str">
        <f t="shared" si="33"/>
        <v xml:space="preserve"> </v>
      </c>
      <c r="FL43" s="137" t="str">
        <f t="shared" si="33"/>
        <v xml:space="preserve"> </v>
      </c>
      <c r="FM43" s="137" t="str">
        <f t="shared" si="33"/>
        <v xml:space="preserve"> </v>
      </c>
      <c r="FN43" s="137" t="str">
        <f t="shared" si="33"/>
        <v xml:space="preserve"> </v>
      </c>
      <c r="FO43" s="137" t="str">
        <f t="shared" si="33"/>
        <v xml:space="preserve"> </v>
      </c>
      <c r="FP43" s="137" t="str">
        <f t="shared" si="33"/>
        <v xml:space="preserve"> </v>
      </c>
      <c r="FQ43" s="137" t="str">
        <f t="shared" si="33"/>
        <v xml:space="preserve"> </v>
      </c>
      <c r="FR43" s="137" t="str">
        <f t="shared" si="33"/>
        <v xml:space="preserve"> </v>
      </c>
      <c r="FS43" s="137" t="str">
        <f t="shared" si="33"/>
        <v xml:space="preserve"> </v>
      </c>
      <c r="FT43" s="137" t="str">
        <f t="shared" si="33"/>
        <v xml:space="preserve"> </v>
      </c>
      <c r="FU43" s="137" t="str">
        <f t="shared" si="33"/>
        <v xml:space="preserve"> </v>
      </c>
      <c r="FV43" s="137" t="str">
        <f t="shared" si="33"/>
        <v xml:space="preserve"> </v>
      </c>
      <c r="FW43" s="137" t="str">
        <f t="shared" si="33"/>
        <v xml:space="preserve"> </v>
      </c>
      <c r="FX43" s="137" t="str">
        <f t="shared" si="33"/>
        <v xml:space="preserve"> </v>
      </c>
      <c r="FY43" s="137" t="str">
        <f t="shared" si="33"/>
        <v xml:space="preserve"> </v>
      </c>
      <c r="FZ43" s="137" t="str">
        <f t="shared" si="33"/>
        <v xml:space="preserve"> </v>
      </c>
      <c r="GA43" s="137" t="str">
        <f t="shared" si="33"/>
        <v xml:space="preserve"> </v>
      </c>
      <c r="GB43" s="137" t="str">
        <f t="shared" si="33"/>
        <v xml:space="preserve"> </v>
      </c>
      <c r="GC43" s="137" t="str">
        <f t="shared" si="33"/>
        <v xml:space="preserve"> </v>
      </c>
      <c r="GD43" s="137" t="str">
        <f t="shared" si="33"/>
        <v xml:space="preserve"> </v>
      </c>
      <c r="GE43" s="137" t="str">
        <f t="shared" si="33"/>
        <v xml:space="preserve"> </v>
      </c>
      <c r="GF43" s="137" t="str">
        <f t="shared" si="33"/>
        <v xml:space="preserve"> </v>
      </c>
      <c r="GG43" s="137" t="str">
        <f t="shared" si="33"/>
        <v xml:space="preserve"> </v>
      </c>
      <c r="GH43" s="137" t="str">
        <f t="shared" si="33"/>
        <v xml:space="preserve"> </v>
      </c>
      <c r="GI43" s="137" t="str">
        <f t="shared" si="33"/>
        <v xml:space="preserve"> </v>
      </c>
      <c r="GJ43" s="137" t="str">
        <f t="shared" si="33"/>
        <v xml:space="preserve"> </v>
      </c>
      <c r="GK43" s="137" t="str">
        <f t="shared" si="33"/>
        <v xml:space="preserve"> </v>
      </c>
      <c r="GL43" s="137" t="str">
        <f t="shared" si="33"/>
        <v xml:space="preserve"> </v>
      </c>
      <c r="GM43" s="137" t="str">
        <f t="shared" ref="GM43:IX43" si="34">IF(SUM(GM25:GM26)=0," ",(GM25+GM26)/(GM27+(GM28*0.34)))</f>
        <v xml:space="preserve"> </v>
      </c>
      <c r="GN43" s="137" t="str">
        <f t="shared" si="34"/>
        <v xml:space="preserve"> </v>
      </c>
      <c r="GO43" s="137" t="str">
        <f t="shared" si="34"/>
        <v xml:space="preserve"> </v>
      </c>
      <c r="GP43" s="137" t="str">
        <f t="shared" si="34"/>
        <v xml:space="preserve"> </v>
      </c>
      <c r="GQ43" s="137" t="str">
        <f t="shared" si="34"/>
        <v xml:space="preserve"> </v>
      </c>
      <c r="GR43" s="137" t="str">
        <f t="shared" si="34"/>
        <v xml:space="preserve"> </v>
      </c>
      <c r="GS43" s="137" t="str">
        <f t="shared" si="34"/>
        <v xml:space="preserve"> </v>
      </c>
      <c r="GT43" s="137" t="str">
        <f t="shared" si="34"/>
        <v xml:space="preserve"> </v>
      </c>
      <c r="GU43" s="137" t="str">
        <f t="shared" si="34"/>
        <v xml:space="preserve"> </v>
      </c>
      <c r="GV43" s="137" t="str">
        <f t="shared" si="34"/>
        <v xml:space="preserve"> </v>
      </c>
      <c r="GW43" s="137" t="str">
        <f t="shared" si="34"/>
        <v xml:space="preserve"> </v>
      </c>
      <c r="GX43" s="137" t="str">
        <f t="shared" si="34"/>
        <v xml:space="preserve"> </v>
      </c>
      <c r="GY43" s="137" t="str">
        <f t="shared" si="34"/>
        <v xml:space="preserve"> </v>
      </c>
      <c r="GZ43" s="137" t="str">
        <f t="shared" si="34"/>
        <v xml:space="preserve"> </v>
      </c>
      <c r="HA43" s="137" t="str">
        <f t="shared" si="34"/>
        <v xml:space="preserve"> </v>
      </c>
      <c r="HB43" s="137" t="str">
        <f t="shared" si="34"/>
        <v xml:space="preserve"> </v>
      </c>
      <c r="HC43" s="137" t="str">
        <f t="shared" si="34"/>
        <v xml:space="preserve"> </v>
      </c>
      <c r="HD43" s="137" t="str">
        <f t="shared" si="34"/>
        <v xml:space="preserve"> </v>
      </c>
      <c r="HE43" s="137" t="str">
        <f t="shared" si="34"/>
        <v xml:space="preserve"> </v>
      </c>
      <c r="HF43" s="137" t="str">
        <f t="shared" si="34"/>
        <v xml:space="preserve"> </v>
      </c>
      <c r="HG43" s="137" t="str">
        <f t="shared" si="34"/>
        <v xml:space="preserve"> </v>
      </c>
      <c r="HH43" s="137" t="str">
        <f t="shared" si="34"/>
        <v xml:space="preserve"> </v>
      </c>
      <c r="HI43" s="137" t="str">
        <f t="shared" si="34"/>
        <v xml:space="preserve"> </v>
      </c>
      <c r="HJ43" s="137" t="str">
        <f t="shared" si="34"/>
        <v xml:space="preserve"> </v>
      </c>
      <c r="HK43" s="137" t="str">
        <f t="shared" si="34"/>
        <v xml:space="preserve"> </v>
      </c>
      <c r="HL43" s="137" t="str">
        <f t="shared" si="34"/>
        <v xml:space="preserve"> </v>
      </c>
      <c r="HM43" s="137" t="str">
        <f t="shared" si="34"/>
        <v xml:space="preserve"> </v>
      </c>
      <c r="HN43" s="137" t="str">
        <f t="shared" si="34"/>
        <v xml:space="preserve"> </v>
      </c>
      <c r="HO43" s="137" t="str">
        <f t="shared" si="34"/>
        <v xml:space="preserve"> </v>
      </c>
      <c r="HP43" s="137" t="str">
        <f t="shared" si="34"/>
        <v xml:space="preserve"> </v>
      </c>
      <c r="HQ43" s="137" t="str">
        <f t="shared" si="34"/>
        <v xml:space="preserve"> </v>
      </c>
      <c r="HR43" s="137" t="str">
        <f t="shared" si="34"/>
        <v xml:space="preserve"> </v>
      </c>
      <c r="HS43" s="137" t="str">
        <f t="shared" si="34"/>
        <v xml:space="preserve"> </v>
      </c>
      <c r="HT43" s="137" t="str">
        <f t="shared" si="34"/>
        <v xml:space="preserve"> </v>
      </c>
      <c r="HU43" s="137" t="str">
        <f t="shared" si="34"/>
        <v xml:space="preserve"> </v>
      </c>
      <c r="HV43" s="137" t="str">
        <f t="shared" si="34"/>
        <v xml:space="preserve"> </v>
      </c>
      <c r="HW43" s="137" t="str">
        <f t="shared" si="34"/>
        <v xml:space="preserve"> </v>
      </c>
      <c r="HX43" s="137" t="str">
        <f t="shared" si="34"/>
        <v xml:space="preserve"> </v>
      </c>
      <c r="HY43" s="137" t="str">
        <f t="shared" si="34"/>
        <v xml:space="preserve"> </v>
      </c>
      <c r="HZ43" s="137" t="str">
        <f t="shared" si="34"/>
        <v xml:space="preserve"> </v>
      </c>
      <c r="IA43" s="137" t="str">
        <f t="shared" si="34"/>
        <v xml:space="preserve"> </v>
      </c>
      <c r="IB43" s="137" t="str">
        <f t="shared" si="34"/>
        <v xml:space="preserve"> </v>
      </c>
      <c r="IC43" s="137" t="str">
        <f t="shared" si="34"/>
        <v xml:space="preserve"> </v>
      </c>
      <c r="ID43" s="137" t="str">
        <f t="shared" si="34"/>
        <v xml:space="preserve"> </v>
      </c>
      <c r="IE43" s="137" t="str">
        <f t="shared" si="34"/>
        <v xml:space="preserve"> </v>
      </c>
      <c r="IF43" s="137" t="str">
        <f t="shared" si="34"/>
        <v xml:space="preserve"> </v>
      </c>
      <c r="IG43" s="137" t="str">
        <f t="shared" si="34"/>
        <v xml:space="preserve"> </v>
      </c>
      <c r="IH43" s="137" t="str">
        <f t="shared" si="34"/>
        <v xml:space="preserve"> </v>
      </c>
      <c r="II43" s="137" t="str">
        <f t="shared" si="34"/>
        <v xml:space="preserve"> </v>
      </c>
      <c r="IJ43" s="137" t="str">
        <f t="shared" si="34"/>
        <v xml:space="preserve"> </v>
      </c>
      <c r="IK43" s="137" t="str">
        <f t="shared" si="34"/>
        <v xml:space="preserve"> </v>
      </c>
      <c r="IL43" s="137" t="str">
        <f t="shared" si="34"/>
        <v xml:space="preserve"> </v>
      </c>
      <c r="IM43" s="137" t="str">
        <f t="shared" si="34"/>
        <v xml:space="preserve"> </v>
      </c>
      <c r="IN43" s="137" t="str">
        <f t="shared" si="34"/>
        <v xml:space="preserve"> </v>
      </c>
      <c r="IO43" s="137" t="str">
        <f t="shared" si="34"/>
        <v xml:space="preserve"> </v>
      </c>
      <c r="IP43" s="137" t="str">
        <f t="shared" si="34"/>
        <v xml:space="preserve"> </v>
      </c>
      <c r="IQ43" s="137" t="str">
        <f t="shared" si="34"/>
        <v xml:space="preserve"> </v>
      </c>
      <c r="IR43" s="137" t="str">
        <f t="shared" si="34"/>
        <v xml:space="preserve"> </v>
      </c>
      <c r="IS43" s="137" t="str">
        <f t="shared" si="34"/>
        <v xml:space="preserve"> </v>
      </c>
      <c r="IT43" s="137" t="str">
        <f t="shared" si="34"/>
        <v xml:space="preserve"> </v>
      </c>
      <c r="IU43" s="137" t="str">
        <f t="shared" si="34"/>
        <v xml:space="preserve"> </v>
      </c>
      <c r="IV43" s="137" t="str">
        <f t="shared" si="34"/>
        <v xml:space="preserve"> </v>
      </c>
      <c r="IW43" s="137" t="str">
        <f t="shared" si="34"/>
        <v xml:space="preserve"> </v>
      </c>
      <c r="IX43" s="137" t="str">
        <f t="shared" si="34"/>
        <v xml:space="preserve"> </v>
      </c>
      <c r="IY43" s="137" t="str">
        <f t="shared" ref="IY43:LJ43" si="35">IF(SUM(IY25:IY26)=0," ",(IY25+IY26)/(IY27+(IY28*0.34)))</f>
        <v xml:space="preserve"> </v>
      </c>
      <c r="IZ43" s="137" t="str">
        <f t="shared" si="35"/>
        <v xml:space="preserve"> </v>
      </c>
      <c r="JA43" s="137" t="str">
        <f t="shared" si="35"/>
        <v xml:space="preserve"> </v>
      </c>
      <c r="JB43" s="137" t="str">
        <f t="shared" si="35"/>
        <v xml:space="preserve"> </v>
      </c>
      <c r="JC43" s="137" t="str">
        <f t="shared" si="35"/>
        <v xml:space="preserve"> </v>
      </c>
      <c r="JD43" s="137" t="str">
        <f t="shared" si="35"/>
        <v xml:space="preserve"> </v>
      </c>
      <c r="JE43" s="137" t="str">
        <f t="shared" si="35"/>
        <v xml:space="preserve"> </v>
      </c>
      <c r="JF43" s="137" t="str">
        <f t="shared" si="35"/>
        <v xml:space="preserve"> </v>
      </c>
      <c r="JG43" s="137" t="str">
        <f t="shared" si="35"/>
        <v xml:space="preserve"> </v>
      </c>
      <c r="JH43" s="137" t="str">
        <f t="shared" si="35"/>
        <v xml:space="preserve"> </v>
      </c>
      <c r="JI43" s="137" t="str">
        <f t="shared" si="35"/>
        <v xml:space="preserve"> </v>
      </c>
      <c r="JJ43" s="137" t="str">
        <f t="shared" si="35"/>
        <v xml:space="preserve"> </v>
      </c>
      <c r="JK43" s="137" t="str">
        <f t="shared" si="35"/>
        <v xml:space="preserve"> </v>
      </c>
      <c r="JL43" s="137" t="str">
        <f t="shared" si="35"/>
        <v xml:space="preserve"> </v>
      </c>
      <c r="JM43" s="137" t="str">
        <f t="shared" si="35"/>
        <v xml:space="preserve"> </v>
      </c>
      <c r="JN43" s="137" t="str">
        <f t="shared" si="35"/>
        <v xml:space="preserve"> </v>
      </c>
      <c r="JO43" s="137" t="str">
        <f t="shared" si="35"/>
        <v xml:space="preserve"> </v>
      </c>
      <c r="JP43" s="137" t="str">
        <f t="shared" si="35"/>
        <v xml:space="preserve"> </v>
      </c>
      <c r="JQ43" s="137" t="str">
        <f t="shared" si="35"/>
        <v xml:space="preserve"> </v>
      </c>
      <c r="JR43" s="137" t="str">
        <f t="shared" si="35"/>
        <v xml:space="preserve"> </v>
      </c>
      <c r="JS43" s="137" t="str">
        <f t="shared" si="35"/>
        <v xml:space="preserve"> </v>
      </c>
      <c r="JT43" s="137" t="str">
        <f t="shared" si="35"/>
        <v xml:space="preserve"> </v>
      </c>
      <c r="JU43" s="137" t="str">
        <f t="shared" si="35"/>
        <v xml:space="preserve"> </v>
      </c>
      <c r="JV43" s="137" t="str">
        <f t="shared" si="35"/>
        <v xml:space="preserve"> </v>
      </c>
      <c r="JW43" s="137" t="str">
        <f t="shared" si="35"/>
        <v xml:space="preserve"> </v>
      </c>
      <c r="JX43" s="137" t="str">
        <f t="shared" si="35"/>
        <v xml:space="preserve"> </v>
      </c>
      <c r="JY43" s="137" t="str">
        <f t="shared" si="35"/>
        <v xml:space="preserve"> </v>
      </c>
      <c r="JZ43" s="137" t="str">
        <f t="shared" si="35"/>
        <v xml:space="preserve"> </v>
      </c>
      <c r="KA43" s="137" t="str">
        <f t="shared" si="35"/>
        <v xml:space="preserve"> </v>
      </c>
      <c r="KB43" s="137" t="str">
        <f t="shared" si="35"/>
        <v xml:space="preserve"> </v>
      </c>
      <c r="KC43" s="137" t="str">
        <f t="shared" si="35"/>
        <v xml:space="preserve"> </v>
      </c>
      <c r="KD43" s="137" t="str">
        <f t="shared" si="35"/>
        <v xml:space="preserve"> </v>
      </c>
      <c r="KE43" s="137" t="str">
        <f t="shared" si="35"/>
        <v xml:space="preserve"> </v>
      </c>
      <c r="KF43" s="137" t="str">
        <f t="shared" si="35"/>
        <v xml:space="preserve"> </v>
      </c>
      <c r="KG43" s="137" t="str">
        <f t="shared" si="35"/>
        <v xml:space="preserve"> </v>
      </c>
      <c r="KH43" s="137" t="str">
        <f t="shared" si="35"/>
        <v xml:space="preserve"> </v>
      </c>
      <c r="KI43" s="137" t="str">
        <f t="shared" si="35"/>
        <v xml:space="preserve"> </v>
      </c>
      <c r="KJ43" s="137" t="str">
        <f t="shared" si="35"/>
        <v xml:space="preserve"> </v>
      </c>
      <c r="KK43" s="137" t="str">
        <f t="shared" si="35"/>
        <v xml:space="preserve"> </v>
      </c>
      <c r="KL43" s="137" t="str">
        <f t="shared" si="35"/>
        <v xml:space="preserve"> </v>
      </c>
      <c r="KM43" s="137" t="str">
        <f t="shared" si="35"/>
        <v xml:space="preserve"> </v>
      </c>
      <c r="KN43" s="137" t="str">
        <f t="shared" si="35"/>
        <v xml:space="preserve"> </v>
      </c>
      <c r="KO43" s="137" t="str">
        <f t="shared" si="35"/>
        <v xml:space="preserve"> </v>
      </c>
      <c r="KP43" s="137" t="str">
        <f t="shared" si="35"/>
        <v xml:space="preserve"> </v>
      </c>
      <c r="KQ43" s="137" t="str">
        <f t="shared" si="35"/>
        <v xml:space="preserve"> </v>
      </c>
      <c r="KR43" s="137" t="str">
        <f t="shared" si="35"/>
        <v xml:space="preserve"> </v>
      </c>
      <c r="KS43" s="137" t="str">
        <f t="shared" si="35"/>
        <v xml:space="preserve"> </v>
      </c>
      <c r="KT43" s="137" t="str">
        <f t="shared" si="35"/>
        <v xml:space="preserve"> </v>
      </c>
      <c r="KU43" s="137" t="str">
        <f t="shared" si="35"/>
        <v xml:space="preserve"> </v>
      </c>
      <c r="KV43" s="137" t="str">
        <f t="shared" si="35"/>
        <v xml:space="preserve"> </v>
      </c>
      <c r="KW43" s="137" t="str">
        <f t="shared" si="35"/>
        <v xml:space="preserve"> </v>
      </c>
      <c r="KX43" s="137" t="str">
        <f t="shared" si="35"/>
        <v xml:space="preserve"> </v>
      </c>
      <c r="KY43" s="137" t="str">
        <f t="shared" si="35"/>
        <v xml:space="preserve"> </v>
      </c>
      <c r="KZ43" s="137" t="str">
        <f t="shared" si="35"/>
        <v xml:space="preserve"> </v>
      </c>
      <c r="LA43" s="137" t="str">
        <f t="shared" si="35"/>
        <v xml:space="preserve"> </v>
      </c>
      <c r="LB43" s="137" t="str">
        <f t="shared" si="35"/>
        <v xml:space="preserve"> </v>
      </c>
      <c r="LC43" s="137" t="str">
        <f t="shared" si="35"/>
        <v xml:space="preserve"> </v>
      </c>
      <c r="LD43" s="137" t="str">
        <f t="shared" si="35"/>
        <v xml:space="preserve"> </v>
      </c>
      <c r="LE43" s="137" t="str">
        <f t="shared" si="35"/>
        <v xml:space="preserve"> </v>
      </c>
      <c r="LF43" s="137" t="str">
        <f t="shared" si="35"/>
        <v xml:space="preserve"> </v>
      </c>
      <c r="LG43" s="137" t="str">
        <f t="shared" si="35"/>
        <v xml:space="preserve"> </v>
      </c>
      <c r="LH43" s="137" t="str">
        <f t="shared" si="35"/>
        <v xml:space="preserve"> </v>
      </c>
      <c r="LI43" s="137" t="str">
        <f t="shared" si="35"/>
        <v xml:space="preserve"> </v>
      </c>
      <c r="LJ43" s="137" t="str">
        <f t="shared" si="35"/>
        <v xml:space="preserve"> </v>
      </c>
      <c r="LK43" s="137" t="str">
        <f t="shared" ref="LK43:ND43" si="36">IF(SUM(LK25:LK26)=0," ",(LK25+LK26)/(LK27+(LK28*0.34)))</f>
        <v xml:space="preserve"> </v>
      </c>
      <c r="LL43" s="137" t="str">
        <f t="shared" si="36"/>
        <v xml:space="preserve"> </v>
      </c>
      <c r="LM43" s="137" t="str">
        <f t="shared" si="36"/>
        <v xml:space="preserve"> </v>
      </c>
      <c r="LN43" s="137" t="str">
        <f t="shared" si="36"/>
        <v xml:space="preserve"> </v>
      </c>
      <c r="LO43" s="137" t="str">
        <f t="shared" si="36"/>
        <v xml:space="preserve"> </v>
      </c>
      <c r="LP43" s="137" t="str">
        <f t="shared" si="36"/>
        <v xml:space="preserve"> </v>
      </c>
      <c r="LQ43" s="137" t="str">
        <f t="shared" si="36"/>
        <v xml:space="preserve"> </v>
      </c>
      <c r="LR43" s="137" t="str">
        <f t="shared" si="36"/>
        <v xml:space="preserve"> </v>
      </c>
      <c r="LS43" s="137" t="str">
        <f t="shared" si="36"/>
        <v xml:space="preserve"> </v>
      </c>
      <c r="LT43" s="137" t="str">
        <f t="shared" si="36"/>
        <v xml:space="preserve"> </v>
      </c>
      <c r="LU43" s="137" t="str">
        <f t="shared" si="36"/>
        <v xml:space="preserve"> </v>
      </c>
      <c r="LV43" s="137" t="str">
        <f t="shared" si="36"/>
        <v xml:space="preserve"> </v>
      </c>
      <c r="LW43" s="137" t="str">
        <f t="shared" si="36"/>
        <v xml:space="preserve"> </v>
      </c>
      <c r="LX43" s="137" t="str">
        <f t="shared" si="36"/>
        <v xml:space="preserve"> </v>
      </c>
      <c r="LY43" s="137" t="str">
        <f t="shared" si="36"/>
        <v xml:space="preserve"> </v>
      </c>
      <c r="LZ43" s="137" t="str">
        <f t="shared" si="36"/>
        <v xml:space="preserve"> </v>
      </c>
      <c r="MA43" s="137" t="str">
        <f t="shared" si="36"/>
        <v xml:space="preserve"> </v>
      </c>
      <c r="MB43" s="137" t="str">
        <f t="shared" si="36"/>
        <v xml:space="preserve"> </v>
      </c>
      <c r="MC43" s="137" t="str">
        <f t="shared" si="36"/>
        <v xml:space="preserve"> </v>
      </c>
      <c r="MD43" s="137" t="str">
        <f t="shared" si="36"/>
        <v xml:space="preserve"> </v>
      </c>
      <c r="ME43" s="137" t="str">
        <f t="shared" si="36"/>
        <v xml:space="preserve"> </v>
      </c>
      <c r="MF43" s="137" t="str">
        <f t="shared" si="36"/>
        <v xml:space="preserve"> </v>
      </c>
      <c r="MG43" s="137" t="str">
        <f t="shared" si="36"/>
        <v xml:space="preserve"> </v>
      </c>
      <c r="MH43" s="137" t="str">
        <f t="shared" si="36"/>
        <v xml:space="preserve"> </v>
      </c>
      <c r="MI43" s="137" t="str">
        <f t="shared" si="36"/>
        <v xml:space="preserve"> </v>
      </c>
      <c r="MJ43" s="137" t="str">
        <f t="shared" si="36"/>
        <v xml:space="preserve"> </v>
      </c>
      <c r="MK43" s="137" t="str">
        <f t="shared" si="36"/>
        <v xml:space="preserve"> </v>
      </c>
      <c r="ML43" s="137" t="str">
        <f t="shared" si="36"/>
        <v xml:space="preserve"> </v>
      </c>
      <c r="MM43" s="137" t="str">
        <f t="shared" si="36"/>
        <v xml:space="preserve"> </v>
      </c>
      <c r="MN43" s="137" t="str">
        <f t="shared" si="36"/>
        <v xml:space="preserve"> </v>
      </c>
      <c r="MO43" s="137" t="str">
        <f t="shared" si="36"/>
        <v xml:space="preserve"> </v>
      </c>
      <c r="MP43" s="137" t="str">
        <f t="shared" si="36"/>
        <v xml:space="preserve"> </v>
      </c>
      <c r="MQ43" s="137" t="str">
        <f t="shared" si="36"/>
        <v xml:space="preserve"> </v>
      </c>
      <c r="MR43" s="137" t="str">
        <f t="shared" si="36"/>
        <v xml:space="preserve"> </v>
      </c>
      <c r="MS43" s="137" t="str">
        <f t="shared" si="36"/>
        <v xml:space="preserve"> </v>
      </c>
      <c r="MT43" s="137" t="str">
        <f t="shared" si="36"/>
        <v xml:space="preserve"> </v>
      </c>
      <c r="MU43" s="137" t="str">
        <f t="shared" si="36"/>
        <v xml:space="preserve"> </v>
      </c>
      <c r="MV43" s="137" t="str">
        <f t="shared" si="36"/>
        <v xml:space="preserve"> </v>
      </c>
      <c r="MW43" s="137" t="str">
        <f t="shared" si="36"/>
        <v xml:space="preserve"> </v>
      </c>
      <c r="MX43" s="137" t="str">
        <f t="shared" si="36"/>
        <v xml:space="preserve"> </v>
      </c>
      <c r="MY43" s="137" t="str">
        <f t="shared" si="36"/>
        <v xml:space="preserve"> </v>
      </c>
      <c r="MZ43" s="137" t="str">
        <f t="shared" si="36"/>
        <v xml:space="preserve"> </v>
      </c>
      <c r="NA43" s="137" t="str">
        <f t="shared" si="36"/>
        <v xml:space="preserve"> </v>
      </c>
      <c r="NB43" s="137" t="str">
        <f t="shared" si="36"/>
        <v xml:space="preserve"> </v>
      </c>
      <c r="NC43" s="137" t="str">
        <f t="shared" si="36"/>
        <v xml:space="preserve"> </v>
      </c>
      <c r="ND43" s="137" t="str">
        <f t="shared" si="36"/>
        <v xml:space="preserve"> </v>
      </c>
      <c r="NE43" s="137" t="str">
        <f t="shared" ref="NE43" si="37">IF(SUM(NE25:NE26)=0," ",(NE25+NE26)/(NE27+(NE28*0.34)))</f>
        <v xml:space="preserve"> </v>
      </c>
    </row>
    <row r="44" spans="1:369" ht="16" thickBot="1" x14ac:dyDescent="0.25">
      <c r="A44" s="15" t="s">
        <v>28</v>
      </c>
      <c r="B44" s="216"/>
      <c r="C44" s="138" t="str">
        <f t="shared" ref="C44:BN44" si="38">IF(SUM(C31:C32)=0," ",(C31+C32)/C33)</f>
        <v xml:space="preserve"> </v>
      </c>
      <c r="D44" s="138" t="str">
        <f t="shared" si="38"/>
        <v xml:space="preserve"> </v>
      </c>
      <c r="E44" s="138" t="str">
        <f t="shared" si="38"/>
        <v xml:space="preserve"> </v>
      </c>
      <c r="F44" s="138" t="str">
        <f t="shared" si="38"/>
        <v xml:space="preserve"> </v>
      </c>
      <c r="G44" s="138" t="str">
        <f t="shared" si="38"/>
        <v xml:space="preserve"> </v>
      </c>
      <c r="H44" s="138" t="str">
        <f t="shared" si="38"/>
        <v xml:space="preserve"> </v>
      </c>
      <c r="I44" s="138" t="str">
        <f t="shared" si="38"/>
        <v xml:space="preserve"> </v>
      </c>
      <c r="J44" s="138" t="str">
        <f t="shared" si="38"/>
        <v xml:space="preserve"> </v>
      </c>
      <c r="K44" s="138" t="str">
        <f t="shared" si="38"/>
        <v xml:space="preserve"> </v>
      </c>
      <c r="L44" s="138" t="str">
        <f t="shared" si="38"/>
        <v xml:space="preserve"> </v>
      </c>
      <c r="M44" s="138" t="str">
        <f t="shared" si="38"/>
        <v xml:space="preserve"> </v>
      </c>
      <c r="N44" s="138" t="str">
        <f t="shared" si="38"/>
        <v xml:space="preserve"> </v>
      </c>
      <c r="O44" s="138" t="str">
        <f t="shared" si="38"/>
        <v xml:space="preserve"> </v>
      </c>
      <c r="P44" s="138" t="str">
        <f t="shared" si="38"/>
        <v xml:space="preserve"> </v>
      </c>
      <c r="Q44" s="138" t="str">
        <f t="shared" si="38"/>
        <v xml:space="preserve"> </v>
      </c>
      <c r="R44" s="138" t="str">
        <f t="shared" si="38"/>
        <v xml:space="preserve"> </v>
      </c>
      <c r="S44" s="138" t="str">
        <f t="shared" si="38"/>
        <v xml:space="preserve"> </v>
      </c>
      <c r="T44" s="138" t="str">
        <f t="shared" si="38"/>
        <v xml:space="preserve"> </v>
      </c>
      <c r="U44" s="138" t="str">
        <f t="shared" si="38"/>
        <v xml:space="preserve"> </v>
      </c>
      <c r="V44" s="138" t="str">
        <f t="shared" si="38"/>
        <v xml:space="preserve"> </v>
      </c>
      <c r="W44" s="138" t="str">
        <f t="shared" si="38"/>
        <v xml:space="preserve"> </v>
      </c>
      <c r="X44" s="138" t="str">
        <f t="shared" si="38"/>
        <v xml:space="preserve"> </v>
      </c>
      <c r="Y44" s="138" t="str">
        <f t="shared" si="38"/>
        <v xml:space="preserve"> </v>
      </c>
      <c r="Z44" s="138" t="str">
        <f t="shared" si="38"/>
        <v xml:space="preserve"> </v>
      </c>
      <c r="AA44" s="138" t="str">
        <f t="shared" si="38"/>
        <v xml:space="preserve"> </v>
      </c>
      <c r="AB44" s="138" t="str">
        <f t="shared" si="38"/>
        <v xml:space="preserve"> </v>
      </c>
      <c r="AC44" s="138" t="str">
        <f t="shared" si="38"/>
        <v xml:space="preserve"> </v>
      </c>
      <c r="AD44" s="138" t="str">
        <f t="shared" si="38"/>
        <v xml:space="preserve"> </v>
      </c>
      <c r="AE44" s="138" t="str">
        <f t="shared" si="38"/>
        <v xml:space="preserve"> </v>
      </c>
      <c r="AF44" s="138" t="str">
        <f t="shared" si="38"/>
        <v xml:space="preserve"> </v>
      </c>
      <c r="AG44" s="138" t="str">
        <f t="shared" si="38"/>
        <v xml:space="preserve"> </v>
      </c>
      <c r="AH44" s="138" t="str">
        <f t="shared" si="38"/>
        <v xml:space="preserve"> </v>
      </c>
      <c r="AI44" s="138" t="str">
        <f t="shared" si="38"/>
        <v xml:space="preserve"> </v>
      </c>
      <c r="AJ44" s="138" t="str">
        <f t="shared" si="38"/>
        <v xml:space="preserve"> </v>
      </c>
      <c r="AK44" s="138" t="str">
        <f t="shared" si="38"/>
        <v xml:space="preserve"> </v>
      </c>
      <c r="AL44" s="138" t="str">
        <f t="shared" si="38"/>
        <v xml:space="preserve"> </v>
      </c>
      <c r="AM44" s="138" t="str">
        <f t="shared" si="38"/>
        <v xml:space="preserve"> </v>
      </c>
      <c r="AN44" s="138" t="str">
        <f t="shared" si="38"/>
        <v xml:space="preserve"> </v>
      </c>
      <c r="AO44" s="138" t="str">
        <f t="shared" si="38"/>
        <v xml:space="preserve"> </v>
      </c>
      <c r="AP44" s="138" t="str">
        <f t="shared" si="38"/>
        <v xml:space="preserve"> </v>
      </c>
      <c r="AQ44" s="138" t="str">
        <f t="shared" si="38"/>
        <v xml:space="preserve"> </v>
      </c>
      <c r="AR44" s="138" t="str">
        <f t="shared" si="38"/>
        <v xml:space="preserve"> </v>
      </c>
      <c r="AS44" s="138" t="str">
        <f t="shared" si="38"/>
        <v xml:space="preserve"> </v>
      </c>
      <c r="AT44" s="138" t="str">
        <f t="shared" si="38"/>
        <v xml:space="preserve"> </v>
      </c>
      <c r="AU44" s="138" t="str">
        <f t="shared" si="38"/>
        <v xml:space="preserve"> </v>
      </c>
      <c r="AV44" s="138" t="str">
        <f t="shared" si="38"/>
        <v xml:space="preserve"> </v>
      </c>
      <c r="AW44" s="138" t="str">
        <f t="shared" si="38"/>
        <v xml:space="preserve"> </v>
      </c>
      <c r="AX44" s="138" t="str">
        <f t="shared" si="38"/>
        <v xml:space="preserve"> </v>
      </c>
      <c r="AY44" s="138" t="str">
        <f t="shared" si="38"/>
        <v xml:space="preserve"> </v>
      </c>
      <c r="AZ44" s="138" t="str">
        <f t="shared" si="38"/>
        <v xml:space="preserve"> </v>
      </c>
      <c r="BA44" s="138" t="str">
        <f t="shared" si="38"/>
        <v xml:space="preserve"> </v>
      </c>
      <c r="BB44" s="138" t="str">
        <f t="shared" si="38"/>
        <v xml:space="preserve"> </v>
      </c>
      <c r="BC44" s="138" t="str">
        <f t="shared" si="38"/>
        <v xml:space="preserve"> </v>
      </c>
      <c r="BD44" s="138" t="str">
        <f t="shared" si="38"/>
        <v xml:space="preserve"> </v>
      </c>
      <c r="BE44" s="138" t="str">
        <f t="shared" si="38"/>
        <v xml:space="preserve"> </v>
      </c>
      <c r="BF44" s="138" t="str">
        <f t="shared" si="38"/>
        <v xml:space="preserve"> </v>
      </c>
      <c r="BG44" s="138" t="str">
        <f t="shared" si="38"/>
        <v xml:space="preserve"> </v>
      </c>
      <c r="BH44" s="138" t="str">
        <f t="shared" si="38"/>
        <v xml:space="preserve"> </v>
      </c>
      <c r="BI44" s="138" t="str">
        <f t="shared" si="38"/>
        <v xml:space="preserve"> </v>
      </c>
      <c r="BJ44" s="138" t="str">
        <f t="shared" si="38"/>
        <v xml:space="preserve"> </v>
      </c>
      <c r="BK44" s="138" t="str">
        <f t="shared" si="38"/>
        <v xml:space="preserve"> </v>
      </c>
      <c r="BL44" s="138" t="str">
        <f t="shared" si="38"/>
        <v xml:space="preserve"> </v>
      </c>
      <c r="BM44" s="138" t="str">
        <f t="shared" si="38"/>
        <v xml:space="preserve"> </v>
      </c>
      <c r="BN44" s="138" t="str">
        <f t="shared" si="38"/>
        <v xml:space="preserve"> </v>
      </c>
      <c r="BO44" s="138" t="str">
        <f t="shared" ref="BO44:DZ44" si="39">IF(SUM(BO31:BO32)=0," ",(BO31+BO32)/BO33)</f>
        <v xml:space="preserve"> </v>
      </c>
      <c r="BP44" s="138" t="str">
        <f t="shared" si="39"/>
        <v xml:space="preserve"> </v>
      </c>
      <c r="BQ44" s="138" t="str">
        <f t="shared" si="39"/>
        <v xml:space="preserve"> </v>
      </c>
      <c r="BR44" s="138" t="str">
        <f t="shared" si="39"/>
        <v xml:space="preserve"> </v>
      </c>
      <c r="BS44" s="138" t="str">
        <f t="shared" si="39"/>
        <v xml:space="preserve"> </v>
      </c>
      <c r="BT44" s="138" t="str">
        <f t="shared" si="39"/>
        <v xml:space="preserve"> </v>
      </c>
      <c r="BU44" s="138" t="str">
        <f t="shared" si="39"/>
        <v xml:space="preserve"> </v>
      </c>
      <c r="BV44" s="138" t="str">
        <f t="shared" si="39"/>
        <v xml:space="preserve"> </v>
      </c>
      <c r="BW44" s="138" t="str">
        <f t="shared" si="39"/>
        <v xml:space="preserve"> </v>
      </c>
      <c r="BX44" s="138" t="str">
        <f t="shared" si="39"/>
        <v xml:space="preserve"> </v>
      </c>
      <c r="BY44" s="138" t="str">
        <f t="shared" si="39"/>
        <v xml:space="preserve"> </v>
      </c>
      <c r="BZ44" s="138" t="str">
        <f t="shared" si="39"/>
        <v xml:space="preserve"> </v>
      </c>
      <c r="CA44" s="138" t="str">
        <f t="shared" si="39"/>
        <v xml:space="preserve"> </v>
      </c>
      <c r="CB44" s="138" t="str">
        <f t="shared" si="39"/>
        <v xml:space="preserve"> </v>
      </c>
      <c r="CC44" s="138" t="str">
        <f t="shared" si="39"/>
        <v xml:space="preserve"> </v>
      </c>
      <c r="CD44" s="138" t="str">
        <f t="shared" si="39"/>
        <v xml:space="preserve"> </v>
      </c>
      <c r="CE44" s="138" t="str">
        <f t="shared" si="39"/>
        <v xml:space="preserve"> </v>
      </c>
      <c r="CF44" s="138" t="str">
        <f t="shared" si="39"/>
        <v xml:space="preserve"> </v>
      </c>
      <c r="CG44" s="138" t="str">
        <f t="shared" si="39"/>
        <v xml:space="preserve"> </v>
      </c>
      <c r="CH44" s="138" t="str">
        <f t="shared" si="39"/>
        <v xml:space="preserve"> </v>
      </c>
      <c r="CI44" s="138" t="str">
        <f t="shared" si="39"/>
        <v xml:space="preserve"> </v>
      </c>
      <c r="CJ44" s="138" t="str">
        <f t="shared" si="39"/>
        <v xml:space="preserve"> </v>
      </c>
      <c r="CK44" s="138" t="str">
        <f t="shared" si="39"/>
        <v xml:space="preserve"> </v>
      </c>
      <c r="CL44" s="138" t="str">
        <f t="shared" si="39"/>
        <v xml:space="preserve"> </v>
      </c>
      <c r="CM44" s="138" t="str">
        <f t="shared" si="39"/>
        <v xml:space="preserve"> </v>
      </c>
      <c r="CN44" s="138" t="str">
        <f t="shared" si="39"/>
        <v xml:space="preserve"> </v>
      </c>
      <c r="CO44" s="138" t="str">
        <f t="shared" si="39"/>
        <v xml:space="preserve"> </v>
      </c>
      <c r="CP44" s="138" t="str">
        <f t="shared" si="39"/>
        <v xml:space="preserve"> </v>
      </c>
      <c r="CQ44" s="138" t="str">
        <f t="shared" si="39"/>
        <v xml:space="preserve"> </v>
      </c>
      <c r="CR44" s="138" t="str">
        <f t="shared" si="39"/>
        <v xml:space="preserve"> </v>
      </c>
      <c r="CS44" s="138" t="str">
        <f t="shared" si="39"/>
        <v xml:space="preserve"> </v>
      </c>
      <c r="CT44" s="138" t="str">
        <f t="shared" si="39"/>
        <v xml:space="preserve"> </v>
      </c>
      <c r="CU44" s="138" t="str">
        <f t="shared" si="39"/>
        <v xml:space="preserve"> </v>
      </c>
      <c r="CV44" s="138" t="str">
        <f t="shared" si="39"/>
        <v xml:space="preserve"> </v>
      </c>
      <c r="CW44" s="138" t="str">
        <f t="shared" si="39"/>
        <v xml:space="preserve"> </v>
      </c>
      <c r="CX44" s="138" t="str">
        <f t="shared" si="39"/>
        <v xml:space="preserve"> </v>
      </c>
      <c r="CY44" s="138" t="str">
        <f t="shared" si="39"/>
        <v xml:space="preserve"> </v>
      </c>
      <c r="CZ44" s="138" t="str">
        <f t="shared" si="39"/>
        <v xml:space="preserve"> </v>
      </c>
      <c r="DA44" s="138" t="str">
        <f t="shared" si="39"/>
        <v xml:space="preserve"> </v>
      </c>
      <c r="DB44" s="138" t="str">
        <f t="shared" si="39"/>
        <v xml:space="preserve"> </v>
      </c>
      <c r="DC44" s="138" t="str">
        <f t="shared" si="39"/>
        <v xml:space="preserve"> </v>
      </c>
      <c r="DD44" s="138" t="str">
        <f t="shared" si="39"/>
        <v xml:space="preserve"> </v>
      </c>
      <c r="DE44" s="138" t="str">
        <f t="shared" si="39"/>
        <v xml:space="preserve"> </v>
      </c>
      <c r="DF44" s="138" t="str">
        <f t="shared" si="39"/>
        <v xml:space="preserve"> </v>
      </c>
      <c r="DG44" s="138" t="str">
        <f t="shared" si="39"/>
        <v xml:space="preserve"> </v>
      </c>
      <c r="DH44" s="138" t="str">
        <f t="shared" si="39"/>
        <v xml:space="preserve"> </v>
      </c>
      <c r="DI44" s="138" t="str">
        <f t="shared" si="39"/>
        <v xml:space="preserve"> </v>
      </c>
      <c r="DJ44" s="138" t="str">
        <f t="shared" si="39"/>
        <v xml:space="preserve"> </v>
      </c>
      <c r="DK44" s="138" t="str">
        <f t="shared" si="39"/>
        <v xml:space="preserve"> </v>
      </c>
      <c r="DL44" s="138" t="str">
        <f t="shared" si="39"/>
        <v xml:space="preserve"> </v>
      </c>
      <c r="DM44" s="138" t="str">
        <f t="shared" si="39"/>
        <v xml:space="preserve"> </v>
      </c>
      <c r="DN44" s="138" t="str">
        <f t="shared" si="39"/>
        <v xml:space="preserve"> </v>
      </c>
      <c r="DO44" s="138" t="str">
        <f t="shared" si="39"/>
        <v xml:space="preserve"> </v>
      </c>
      <c r="DP44" s="138" t="str">
        <f t="shared" si="39"/>
        <v xml:space="preserve"> </v>
      </c>
      <c r="DQ44" s="138" t="str">
        <f t="shared" si="39"/>
        <v xml:space="preserve"> </v>
      </c>
      <c r="DR44" s="138" t="str">
        <f t="shared" si="39"/>
        <v xml:space="preserve"> </v>
      </c>
      <c r="DS44" s="138" t="str">
        <f t="shared" si="39"/>
        <v xml:space="preserve"> </v>
      </c>
      <c r="DT44" s="138" t="str">
        <f t="shared" si="39"/>
        <v xml:space="preserve"> </v>
      </c>
      <c r="DU44" s="138" t="str">
        <f t="shared" si="39"/>
        <v xml:space="preserve"> </v>
      </c>
      <c r="DV44" s="138" t="str">
        <f t="shared" si="39"/>
        <v xml:space="preserve"> </v>
      </c>
      <c r="DW44" s="138" t="str">
        <f t="shared" si="39"/>
        <v xml:space="preserve"> </v>
      </c>
      <c r="DX44" s="138" t="str">
        <f t="shared" si="39"/>
        <v xml:space="preserve"> </v>
      </c>
      <c r="DY44" s="138" t="str">
        <f t="shared" si="39"/>
        <v xml:space="preserve"> </v>
      </c>
      <c r="DZ44" s="138" t="str">
        <f t="shared" si="39"/>
        <v xml:space="preserve"> </v>
      </c>
      <c r="EA44" s="138" t="str">
        <f t="shared" ref="EA44:GL44" si="40">IF(SUM(EA31:EA32)=0," ",(EA31+EA32)/EA33)</f>
        <v xml:space="preserve"> </v>
      </c>
      <c r="EB44" s="138" t="str">
        <f t="shared" si="40"/>
        <v xml:space="preserve"> </v>
      </c>
      <c r="EC44" s="138" t="str">
        <f t="shared" si="40"/>
        <v xml:space="preserve"> </v>
      </c>
      <c r="ED44" s="138" t="str">
        <f t="shared" si="40"/>
        <v xml:space="preserve"> </v>
      </c>
      <c r="EE44" s="138" t="str">
        <f t="shared" si="40"/>
        <v xml:space="preserve"> </v>
      </c>
      <c r="EF44" s="138" t="str">
        <f t="shared" si="40"/>
        <v xml:space="preserve"> </v>
      </c>
      <c r="EG44" s="138" t="str">
        <f t="shared" si="40"/>
        <v xml:space="preserve"> </v>
      </c>
      <c r="EH44" s="138" t="str">
        <f t="shared" si="40"/>
        <v xml:space="preserve"> </v>
      </c>
      <c r="EI44" s="138" t="str">
        <f t="shared" si="40"/>
        <v xml:space="preserve"> </v>
      </c>
      <c r="EJ44" s="138" t="str">
        <f t="shared" si="40"/>
        <v xml:space="preserve"> </v>
      </c>
      <c r="EK44" s="138" t="str">
        <f t="shared" si="40"/>
        <v xml:space="preserve"> </v>
      </c>
      <c r="EL44" s="138" t="str">
        <f t="shared" si="40"/>
        <v xml:space="preserve"> </v>
      </c>
      <c r="EM44" s="138" t="str">
        <f t="shared" si="40"/>
        <v xml:space="preserve"> </v>
      </c>
      <c r="EN44" s="138" t="str">
        <f t="shared" si="40"/>
        <v xml:space="preserve"> </v>
      </c>
      <c r="EO44" s="138" t="str">
        <f t="shared" si="40"/>
        <v xml:space="preserve"> </v>
      </c>
      <c r="EP44" s="138" t="str">
        <f t="shared" si="40"/>
        <v xml:space="preserve"> </v>
      </c>
      <c r="EQ44" s="138" t="str">
        <f t="shared" si="40"/>
        <v xml:space="preserve"> </v>
      </c>
      <c r="ER44" s="138" t="str">
        <f t="shared" si="40"/>
        <v xml:space="preserve"> </v>
      </c>
      <c r="ES44" s="138" t="str">
        <f t="shared" si="40"/>
        <v xml:space="preserve"> </v>
      </c>
      <c r="ET44" s="138" t="str">
        <f t="shared" si="40"/>
        <v xml:space="preserve"> </v>
      </c>
      <c r="EU44" s="138" t="str">
        <f t="shared" si="40"/>
        <v xml:space="preserve"> </v>
      </c>
      <c r="EV44" s="138" t="str">
        <f t="shared" si="40"/>
        <v xml:space="preserve"> </v>
      </c>
      <c r="EW44" s="138" t="str">
        <f t="shared" si="40"/>
        <v xml:space="preserve"> </v>
      </c>
      <c r="EX44" s="138" t="str">
        <f t="shared" si="40"/>
        <v xml:space="preserve"> </v>
      </c>
      <c r="EY44" s="138" t="str">
        <f t="shared" si="40"/>
        <v xml:space="preserve"> </v>
      </c>
      <c r="EZ44" s="138" t="str">
        <f t="shared" si="40"/>
        <v xml:space="preserve"> </v>
      </c>
      <c r="FA44" s="138" t="str">
        <f t="shared" si="40"/>
        <v xml:space="preserve"> </v>
      </c>
      <c r="FB44" s="138" t="str">
        <f t="shared" si="40"/>
        <v xml:space="preserve"> </v>
      </c>
      <c r="FC44" s="138" t="str">
        <f t="shared" si="40"/>
        <v xml:space="preserve"> </v>
      </c>
      <c r="FD44" s="138" t="str">
        <f t="shared" si="40"/>
        <v xml:space="preserve"> </v>
      </c>
      <c r="FE44" s="138" t="str">
        <f t="shared" si="40"/>
        <v xml:space="preserve"> </v>
      </c>
      <c r="FF44" s="138" t="str">
        <f t="shared" si="40"/>
        <v xml:space="preserve"> </v>
      </c>
      <c r="FG44" s="138" t="str">
        <f t="shared" si="40"/>
        <v xml:space="preserve"> </v>
      </c>
      <c r="FH44" s="138" t="str">
        <f t="shared" si="40"/>
        <v xml:space="preserve"> </v>
      </c>
      <c r="FI44" s="138" t="str">
        <f t="shared" si="40"/>
        <v xml:space="preserve"> </v>
      </c>
      <c r="FJ44" s="138" t="str">
        <f t="shared" si="40"/>
        <v xml:space="preserve"> </v>
      </c>
      <c r="FK44" s="138" t="str">
        <f t="shared" si="40"/>
        <v xml:space="preserve"> </v>
      </c>
      <c r="FL44" s="138" t="str">
        <f t="shared" si="40"/>
        <v xml:space="preserve"> </v>
      </c>
      <c r="FM44" s="138" t="str">
        <f t="shared" si="40"/>
        <v xml:space="preserve"> </v>
      </c>
      <c r="FN44" s="138" t="str">
        <f t="shared" si="40"/>
        <v xml:space="preserve"> </v>
      </c>
      <c r="FO44" s="138" t="str">
        <f t="shared" si="40"/>
        <v xml:space="preserve"> </v>
      </c>
      <c r="FP44" s="138" t="str">
        <f t="shared" si="40"/>
        <v xml:space="preserve"> </v>
      </c>
      <c r="FQ44" s="138" t="str">
        <f t="shared" si="40"/>
        <v xml:space="preserve"> </v>
      </c>
      <c r="FR44" s="138" t="str">
        <f t="shared" si="40"/>
        <v xml:space="preserve"> </v>
      </c>
      <c r="FS44" s="138" t="str">
        <f t="shared" si="40"/>
        <v xml:space="preserve"> </v>
      </c>
      <c r="FT44" s="138" t="str">
        <f t="shared" si="40"/>
        <v xml:space="preserve"> </v>
      </c>
      <c r="FU44" s="138" t="str">
        <f t="shared" si="40"/>
        <v xml:space="preserve"> </v>
      </c>
      <c r="FV44" s="138" t="str">
        <f t="shared" si="40"/>
        <v xml:space="preserve"> </v>
      </c>
      <c r="FW44" s="138" t="str">
        <f t="shared" si="40"/>
        <v xml:space="preserve"> </v>
      </c>
      <c r="FX44" s="138" t="str">
        <f t="shared" si="40"/>
        <v xml:space="preserve"> </v>
      </c>
      <c r="FY44" s="138" t="str">
        <f t="shared" si="40"/>
        <v xml:space="preserve"> </v>
      </c>
      <c r="FZ44" s="138" t="str">
        <f t="shared" si="40"/>
        <v xml:space="preserve"> </v>
      </c>
      <c r="GA44" s="138" t="str">
        <f t="shared" si="40"/>
        <v xml:space="preserve"> </v>
      </c>
      <c r="GB44" s="138" t="str">
        <f t="shared" si="40"/>
        <v xml:space="preserve"> </v>
      </c>
      <c r="GC44" s="138" t="str">
        <f t="shared" si="40"/>
        <v xml:space="preserve"> </v>
      </c>
      <c r="GD44" s="138" t="str">
        <f t="shared" si="40"/>
        <v xml:space="preserve"> </v>
      </c>
      <c r="GE44" s="138" t="str">
        <f t="shared" si="40"/>
        <v xml:space="preserve"> </v>
      </c>
      <c r="GF44" s="138" t="str">
        <f t="shared" si="40"/>
        <v xml:space="preserve"> </v>
      </c>
      <c r="GG44" s="138" t="str">
        <f t="shared" si="40"/>
        <v xml:space="preserve"> </v>
      </c>
      <c r="GH44" s="138" t="str">
        <f t="shared" si="40"/>
        <v xml:space="preserve"> </v>
      </c>
      <c r="GI44" s="138" t="str">
        <f t="shared" si="40"/>
        <v xml:space="preserve"> </v>
      </c>
      <c r="GJ44" s="138" t="str">
        <f t="shared" si="40"/>
        <v xml:space="preserve"> </v>
      </c>
      <c r="GK44" s="138" t="str">
        <f t="shared" si="40"/>
        <v xml:space="preserve"> </v>
      </c>
      <c r="GL44" s="138" t="str">
        <f t="shared" si="40"/>
        <v xml:space="preserve"> </v>
      </c>
      <c r="GM44" s="138" t="str">
        <f t="shared" ref="GM44:IX44" si="41">IF(SUM(GM31:GM32)=0," ",(GM31+GM32)/GM33)</f>
        <v xml:space="preserve"> </v>
      </c>
      <c r="GN44" s="138" t="str">
        <f t="shared" si="41"/>
        <v xml:space="preserve"> </v>
      </c>
      <c r="GO44" s="138" t="str">
        <f t="shared" si="41"/>
        <v xml:space="preserve"> </v>
      </c>
      <c r="GP44" s="138" t="str">
        <f t="shared" si="41"/>
        <v xml:space="preserve"> </v>
      </c>
      <c r="GQ44" s="138" t="str">
        <f t="shared" si="41"/>
        <v xml:space="preserve"> </v>
      </c>
      <c r="GR44" s="138" t="str">
        <f t="shared" si="41"/>
        <v xml:space="preserve"> </v>
      </c>
      <c r="GS44" s="138" t="str">
        <f t="shared" si="41"/>
        <v xml:space="preserve"> </v>
      </c>
      <c r="GT44" s="138" t="str">
        <f t="shared" si="41"/>
        <v xml:space="preserve"> </v>
      </c>
      <c r="GU44" s="138" t="str">
        <f t="shared" si="41"/>
        <v xml:space="preserve"> </v>
      </c>
      <c r="GV44" s="138" t="str">
        <f t="shared" si="41"/>
        <v xml:space="preserve"> </v>
      </c>
      <c r="GW44" s="138" t="str">
        <f t="shared" si="41"/>
        <v xml:space="preserve"> </v>
      </c>
      <c r="GX44" s="138" t="str">
        <f t="shared" si="41"/>
        <v xml:space="preserve"> </v>
      </c>
      <c r="GY44" s="138" t="str">
        <f t="shared" si="41"/>
        <v xml:space="preserve"> </v>
      </c>
      <c r="GZ44" s="138" t="str">
        <f t="shared" si="41"/>
        <v xml:space="preserve"> </v>
      </c>
      <c r="HA44" s="138" t="str">
        <f t="shared" si="41"/>
        <v xml:space="preserve"> </v>
      </c>
      <c r="HB44" s="138" t="str">
        <f t="shared" si="41"/>
        <v xml:space="preserve"> </v>
      </c>
      <c r="HC44" s="138" t="str">
        <f t="shared" si="41"/>
        <v xml:space="preserve"> </v>
      </c>
      <c r="HD44" s="138" t="str">
        <f t="shared" si="41"/>
        <v xml:space="preserve"> </v>
      </c>
      <c r="HE44" s="138" t="str">
        <f t="shared" si="41"/>
        <v xml:space="preserve"> </v>
      </c>
      <c r="HF44" s="138" t="str">
        <f t="shared" si="41"/>
        <v xml:space="preserve"> </v>
      </c>
      <c r="HG44" s="138" t="str">
        <f t="shared" si="41"/>
        <v xml:space="preserve"> </v>
      </c>
      <c r="HH44" s="138" t="str">
        <f t="shared" si="41"/>
        <v xml:space="preserve"> </v>
      </c>
      <c r="HI44" s="138" t="str">
        <f t="shared" si="41"/>
        <v xml:space="preserve"> </v>
      </c>
      <c r="HJ44" s="138" t="str">
        <f t="shared" si="41"/>
        <v xml:space="preserve"> </v>
      </c>
      <c r="HK44" s="138" t="str">
        <f t="shared" si="41"/>
        <v xml:space="preserve"> </v>
      </c>
      <c r="HL44" s="138" t="str">
        <f t="shared" si="41"/>
        <v xml:space="preserve"> </v>
      </c>
      <c r="HM44" s="138" t="str">
        <f t="shared" si="41"/>
        <v xml:space="preserve"> </v>
      </c>
      <c r="HN44" s="138" t="str">
        <f t="shared" si="41"/>
        <v xml:space="preserve"> </v>
      </c>
      <c r="HO44" s="138" t="str">
        <f t="shared" si="41"/>
        <v xml:space="preserve"> </v>
      </c>
      <c r="HP44" s="138" t="str">
        <f t="shared" si="41"/>
        <v xml:space="preserve"> </v>
      </c>
      <c r="HQ44" s="138" t="str">
        <f t="shared" si="41"/>
        <v xml:space="preserve"> </v>
      </c>
      <c r="HR44" s="138" t="str">
        <f t="shared" si="41"/>
        <v xml:space="preserve"> </v>
      </c>
      <c r="HS44" s="138" t="str">
        <f t="shared" si="41"/>
        <v xml:space="preserve"> </v>
      </c>
      <c r="HT44" s="138" t="str">
        <f t="shared" si="41"/>
        <v xml:space="preserve"> </v>
      </c>
      <c r="HU44" s="138" t="str">
        <f t="shared" si="41"/>
        <v xml:space="preserve"> </v>
      </c>
      <c r="HV44" s="138" t="str">
        <f t="shared" si="41"/>
        <v xml:space="preserve"> </v>
      </c>
      <c r="HW44" s="138" t="str">
        <f t="shared" si="41"/>
        <v xml:space="preserve"> </v>
      </c>
      <c r="HX44" s="138" t="str">
        <f t="shared" si="41"/>
        <v xml:space="preserve"> </v>
      </c>
      <c r="HY44" s="138" t="str">
        <f t="shared" si="41"/>
        <v xml:space="preserve"> </v>
      </c>
      <c r="HZ44" s="138" t="str">
        <f t="shared" si="41"/>
        <v xml:space="preserve"> </v>
      </c>
      <c r="IA44" s="138" t="str">
        <f t="shared" si="41"/>
        <v xml:space="preserve"> </v>
      </c>
      <c r="IB44" s="138" t="str">
        <f t="shared" si="41"/>
        <v xml:space="preserve"> </v>
      </c>
      <c r="IC44" s="138" t="str">
        <f t="shared" si="41"/>
        <v xml:space="preserve"> </v>
      </c>
      <c r="ID44" s="138" t="str">
        <f t="shared" si="41"/>
        <v xml:space="preserve"> </v>
      </c>
      <c r="IE44" s="138" t="str">
        <f t="shared" si="41"/>
        <v xml:space="preserve"> </v>
      </c>
      <c r="IF44" s="138" t="str">
        <f t="shared" si="41"/>
        <v xml:space="preserve"> </v>
      </c>
      <c r="IG44" s="138" t="str">
        <f t="shared" si="41"/>
        <v xml:space="preserve"> </v>
      </c>
      <c r="IH44" s="138" t="str">
        <f t="shared" si="41"/>
        <v xml:space="preserve"> </v>
      </c>
      <c r="II44" s="138" t="str">
        <f t="shared" si="41"/>
        <v xml:space="preserve"> </v>
      </c>
      <c r="IJ44" s="138" t="str">
        <f t="shared" si="41"/>
        <v xml:space="preserve"> </v>
      </c>
      <c r="IK44" s="138" t="str">
        <f t="shared" si="41"/>
        <v xml:space="preserve"> </v>
      </c>
      <c r="IL44" s="138" t="str">
        <f t="shared" si="41"/>
        <v xml:space="preserve"> </v>
      </c>
      <c r="IM44" s="138" t="str">
        <f t="shared" si="41"/>
        <v xml:space="preserve"> </v>
      </c>
      <c r="IN44" s="138" t="str">
        <f t="shared" si="41"/>
        <v xml:space="preserve"> </v>
      </c>
      <c r="IO44" s="138" t="str">
        <f t="shared" si="41"/>
        <v xml:space="preserve"> </v>
      </c>
      <c r="IP44" s="138" t="str">
        <f t="shared" si="41"/>
        <v xml:space="preserve"> </v>
      </c>
      <c r="IQ44" s="138" t="str">
        <f t="shared" si="41"/>
        <v xml:space="preserve"> </v>
      </c>
      <c r="IR44" s="138" t="str">
        <f t="shared" si="41"/>
        <v xml:space="preserve"> </v>
      </c>
      <c r="IS44" s="138" t="str">
        <f t="shared" si="41"/>
        <v xml:space="preserve"> </v>
      </c>
      <c r="IT44" s="138" t="str">
        <f t="shared" si="41"/>
        <v xml:space="preserve"> </v>
      </c>
      <c r="IU44" s="138" t="str">
        <f t="shared" si="41"/>
        <v xml:space="preserve"> </v>
      </c>
      <c r="IV44" s="138" t="str">
        <f t="shared" si="41"/>
        <v xml:space="preserve"> </v>
      </c>
      <c r="IW44" s="138" t="str">
        <f t="shared" si="41"/>
        <v xml:space="preserve"> </v>
      </c>
      <c r="IX44" s="138" t="str">
        <f t="shared" si="41"/>
        <v xml:space="preserve"> </v>
      </c>
      <c r="IY44" s="138" t="str">
        <f t="shared" ref="IY44:JE44" si="42">IF(SUM(IY31:IY32)=0," ",(IY31+IY32)/IY33)</f>
        <v xml:space="preserve"> </v>
      </c>
      <c r="IZ44" s="138" t="str">
        <f t="shared" si="42"/>
        <v xml:space="preserve"> </v>
      </c>
      <c r="JA44" s="138" t="str">
        <f t="shared" si="42"/>
        <v xml:space="preserve"> </v>
      </c>
      <c r="JB44" s="138" t="str">
        <f t="shared" si="42"/>
        <v xml:space="preserve"> </v>
      </c>
      <c r="JC44" s="138" t="str">
        <f t="shared" si="42"/>
        <v xml:space="preserve"> </v>
      </c>
      <c r="JD44" s="138" t="str">
        <f t="shared" si="42"/>
        <v xml:space="preserve"> </v>
      </c>
      <c r="JE44" s="138" t="str">
        <f t="shared" si="42"/>
        <v xml:space="preserve"> </v>
      </c>
      <c r="JF44" s="138" t="str">
        <f>IF(SUM(JF31:JF32)=0," ",(JF31+JF32)/#REF!)</f>
        <v xml:space="preserve"> </v>
      </c>
      <c r="JG44" s="138" t="str">
        <f t="shared" ref="JG44:LR44" si="43">IF(SUM(JG31:JG32)=0," ",(JG31+JG32)/JG33)</f>
        <v xml:space="preserve"> </v>
      </c>
      <c r="JH44" s="138" t="str">
        <f t="shared" si="43"/>
        <v xml:space="preserve"> </v>
      </c>
      <c r="JI44" s="138" t="str">
        <f t="shared" si="43"/>
        <v xml:space="preserve"> </v>
      </c>
      <c r="JJ44" s="138" t="str">
        <f t="shared" si="43"/>
        <v xml:space="preserve"> </v>
      </c>
      <c r="JK44" s="138" t="str">
        <f t="shared" si="43"/>
        <v xml:space="preserve"> </v>
      </c>
      <c r="JL44" s="138" t="str">
        <f t="shared" si="43"/>
        <v xml:space="preserve"> </v>
      </c>
      <c r="JM44" s="138" t="str">
        <f t="shared" si="43"/>
        <v xml:space="preserve"> </v>
      </c>
      <c r="JN44" s="138" t="str">
        <f t="shared" si="43"/>
        <v xml:space="preserve"> </v>
      </c>
      <c r="JO44" s="138" t="str">
        <f t="shared" si="43"/>
        <v xml:space="preserve"> </v>
      </c>
      <c r="JP44" s="138" t="str">
        <f t="shared" si="43"/>
        <v xml:space="preserve"> </v>
      </c>
      <c r="JQ44" s="138" t="str">
        <f t="shared" si="43"/>
        <v xml:space="preserve"> </v>
      </c>
      <c r="JR44" s="138" t="str">
        <f t="shared" si="43"/>
        <v xml:space="preserve"> </v>
      </c>
      <c r="JS44" s="138" t="str">
        <f t="shared" si="43"/>
        <v xml:space="preserve"> </v>
      </c>
      <c r="JT44" s="138" t="str">
        <f t="shared" si="43"/>
        <v xml:space="preserve"> </v>
      </c>
      <c r="JU44" s="138" t="str">
        <f t="shared" si="43"/>
        <v xml:space="preserve"> </v>
      </c>
      <c r="JV44" s="138" t="str">
        <f t="shared" si="43"/>
        <v xml:space="preserve"> </v>
      </c>
      <c r="JW44" s="138" t="str">
        <f t="shared" si="43"/>
        <v xml:space="preserve"> </v>
      </c>
      <c r="JX44" s="138" t="str">
        <f t="shared" si="43"/>
        <v xml:space="preserve"> </v>
      </c>
      <c r="JY44" s="138" t="str">
        <f t="shared" si="43"/>
        <v xml:space="preserve"> </v>
      </c>
      <c r="JZ44" s="138" t="str">
        <f t="shared" si="43"/>
        <v xml:space="preserve"> </v>
      </c>
      <c r="KA44" s="138" t="str">
        <f t="shared" si="43"/>
        <v xml:space="preserve"> </v>
      </c>
      <c r="KB44" s="138" t="str">
        <f t="shared" si="43"/>
        <v xml:space="preserve"> </v>
      </c>
      <c r="KC44" s="138" t="str">
        <f t="shared" si="43"/>
        <v xml:space="preserve"> </v>
      </c>
      <c r="KD44" s="138" t="str">
        <f t="shared" si="43"/>
        <v xml:space="preserve"> </v>
      </c>
      <c r="KE44" s="138" t="str">
        <f t="shared" si="43"/>
        <v xml:space="preserve"> </v>
      </c>
      <c r="KF44" s="138" t="str">
        <f t="shared" si="43"/>
        <v xml:space="preserve"> </v>
      </c>
      <c r="KG44" s="138" t="str">
        <f t="shared" si="43"/>
        <v xml:space="preserve"> </v>
      </c>
      <c r="KH44" s="138" t="str">
        <f t="shared" si="43"/>
        <v xml:space="preserve"> </v>
      </c>
      <c r="KI44" s="138" t="str">
        <f t="shared" si="43"/>
        <v xml:space="preserve"> </v>
      </c>
      <c r="KJ44" s="138" t="str">
        <f t="shared" si="43"/>
        <v xml:space="preserve"> </v>
      </c>
      <c r="KK44" s="138" t="str">
        <f t="shared" si="43"/>
        <v xml:space="preserve"> </v>
      </c>
      <c r="KL44" s="138" t="str">
        <f t="shared" si="43"/>
        <v xml:space="preserve"> </v>
      </c>
      <c r="KM44" s="138" t="str">
        <f t="shared" si="43"/>
        <v xml:space="preserve"> </v>
      </c>
      <c r="KN44" s="138" t="str">
        <f t="shared" si="43"/>
        <v xml:space="preserve"> </v>
      </c>
      <c r="KO44" s="138" t="str">
        <f t="shared" si="43"/>
        <v xml:space="preserve"> </v>
      </c>
      <c r="KP44" s="138" t="str">
        <f t="shared" si="43"/>
        <v xml:space="preserve"> </v>
      </c>
      <c r="KQ44" s="138" t="str">
        <f t="shared" si="43"/>
        <v xml:space="preserve"> </v>
      </c>
      <c r="KR44" s="138" t="str">
        <f t="shared" si="43"/>
        <v xml:space="preserve"> </v>
      </c>
      <c r="KS44" s="138" t="str">
        <f t="shared" si="43"/>
        <v xml:space="preserve"> </v>
      </c>
      <c r="KT44" s="138" t="str">
        <f t="shared" si="43"/>
        <v xml:space="preserve"> </v>
      </c>
      <c r="KU44" s="138" t="str">
        <f t="shared" si="43"/>
        <v xml:space="preserve"> </v>
      </c>
      <c r="KV44" s="138" t="str">
        <f t="shared" si="43"/>
        <v xml:space="preserve"> </v>
      </c>
      <c r="KW44" s="138" t="str">
        <f t="shared" si="43"/>
        <v xml:space="preserve"> </v>
      </c>
      <c r="KX44" s="138" t="str">
        <f t="shared" si="43"/>
        <v xml:space="preserve"> </v>
      </c>
      <c r="KY44" s="138" t="str">
        <f t="shared" si="43"/>
        <v xml:space="preserve"> </v>
      </c>
      <c r="KZ44" s="138" t="str">
        <f t="shared" si="43"/>
        <v xml:space="preserve"> </v>
      </c>
      <c r="LA44" s="138" t="str">
        <f t="shared" si="43"/>
        <v xml:space="preserve"> </v>
      </c>
      <c r="LB44" s="138" t="str">
        <f t="shared" si="43"/>
        <v xml:space="preserve"> </v>
      </c>
      <c r="LC44" s="138" t="str">
        <f t="shared" si="43"/>
        <v xml:space="preserve"> </v>
      </c>
      <c r="LD44" s="138" t="str">
        <f t="shared" si="43"/>
        <v xml:space="preserve"> </v>
      </c>
      <c r="LE44" s="138" t="str">
        <f t="shared" si="43"/>
        <v xml:space="preserve"> </v>
      </c>
      <c r="LF44" s="138" t="str">
        <f t="shared" si="43"/>
        <v xml:space="preserve"> </v>
      </c>
      <c r="LG44" s="138" t="str">
        <f t="shared" si="43"/>
        <v xml:space="preserve"> </v>
      </c>
      <c r="LH44" s="138" t="str">
        <f t="shared" si="43"/>
        <v xml:space="preserve"> </v>
      </c>
      <c r="LI44" s="138" t="str">
        <f t="shared" si="43"/>
        <v xml:space="preserve"> </v>
      </c>
      <c r="LJ44" s="138" t="str">
        <f t="shared" si="43"/>
        <v xml:space="preserve"> </v>
      </c>
      <c r="LK44" s="138" t="str">
        <f t="shared" si="43"/>
        <v xml:space="preserve"> </v>
      </c>
      <c r="LL44" s="138" t="str">
        <f t="shared" si="43"/>
        <v xml:space="preserve"> </v>
      </c>
      <c r="LM44" s="138" t="str">
        <f t="shared" si="43"/>
        <v xml:space="preserve"> </v>
      </c>
      <c r="LN44" s="138" t="str">
        <f t="shared" si="43"/>
        <v xml:space="preserve"> </v>
      </c>
      <c r="LO44" s="138" t="str">
        <f t="shared" si="43"/>
        <v xml:space="preserve"> </v>
      </c>
      <c r="LP44" s="138" t="str">
        <f t="shared" si="43"/>
        <v xml:space="preserve"> </v>
      </c>
      <c r="LQ44" s="138" t="str">
        <f t="shared" si="43"/>
        <v xml:space="preserve"> </v>
      </c>
      <c r="LR44" s="138" t="str">
        <f t="shared" si="43"/>
        <v xml:space="preserve"> </v>
      </c>
      <c r="LS44" s="138" t="str">
        <f t="shared" ref="LS44:ND44" si="44">IF(SUM(LS31:LS32)=0," ",(LS31+LS32)/LS33)</f>
        <v xml:space="preserve"> </v>
      </c>
      <c r="LT44" s="138" t="str">
        <f t="shared" si="44"/>
        <v xml:space="preserve"> </v>
      </c>
      <c r="LU44" s="138" t="str">
        <f t="shared" si="44"/>
        <v xml:space="preserve"> </v>
      </c>
      <c r="LV44" s="138" t="str">
        <f t="shared" si="44"/>
        <v xml:space="preserve"> </v>
      </c>
      <c r="LW44" s="138" t="str">
        <f t="shared" si="44"/>
        <v xml:space="preserve"> </v>
      </c>
      <c r="LX44" s="138" t="str">
        <f t="shared" si="44"/>
        <v xml:space="preserve"> </v>
      </c>
      <c r="LY44" s="138" t="str">
        <f t="shared" si="44"/>
        <v xml:space="preserve"> </v>
      </c>
      <c r="LZ44" s="138" t="str">
        <f t="shared" si="44"/>
        <v xml:space="preserve"> </v>
      </c>
      <c r="MA44" s="138" t="str">
        <f t="shared" si="44"/>
        <v xml:space="preserve"> </v>
      </c>
      <c r="MB44" s="138" t="str">
        <f t="shared" si="44"/>
        <v xml:space="preserve"> </v>
      </c>
      <c r="MC44" s="138" t="str">
        <f t="shared" si="44"/>
        <v xml:space="preserve"> </v>
      </c>
      <c r="MD44" s="138" t="str">
        <f t="shared" si="44"/>
        <v xml:space="preserve"> </v>
      </c>
      <c r="ME44" s="138" t="str">
        <f t="shared" si="44"/>
        <v xml:space="preserve"> </v>
      </c>
      <c r="MF44" s="138" t="str">
        <f t="shared" si="44"/>
        <v xml:space="preserve"> </v>
      </c>
      <c r="MG44" s="138" t="str">
        <f t="shared" si="44"/>
        <v xml:space="preserve"> </v>
      </c>
      <c r="MH44" s="138" t="str">
        <f t="shared" si="44"/>
        <v xml:space="preserve"> </v>
      </c>
      <c r="MI44" s="138" t="str">
        <f t="shared" si="44"/>
        <v xml:space="preserve"> </v>
      </c>
      <c r="MJ44" s="138" t="str">
        <f t="shared" si="44"/>
        <v xml:space="preserve"> </v>
      </c>
      <c r="MK44" s="138" t="str">
        <f t="shared" si="44"/>
        <v xml:space="preserve"> </v>
      </c>
      <c r="ML44" s="138" t="str">
        <f t="shared" si="44"/>
        <v xml:space="preserve"> </v>
      </c>
      <c r="MM44" s="138" t="str">
        <f t="shared" si="44"/>
        <v xml:space="preserve"> </v>
      </c>
      <c r="MN44" s="138" t="str">
        <f t="shared" si="44"/>
        <v xml:space="preserve"> </v>
      </c>
      <c r="MO44" s="138" t="str">
        <f t="shared" si="44"/>
        <v xml:space="preserve"> </v>
      </c>
      <c r="MP44" s="138" t="str">
        <f t="shared" si="44"/>
        <v xml:space="preserve"> </v>
      </c>
      <c r="MQ44" s="138" t="str">
        <f t="shared" si="44"/>
        <v xml:space="preserve"> </v>
      </c>
      <c r="MR44" s="138" t="str">
        <f t="shared" si="44"/>
        <v xml:space="preserve"> </v>
      </c>
      <c r="MS44" s="138" t="str">
        <f t="shared" si="44"/>
        <v xml:space="preserve"> </v>
      </c>
      <c r="MT44" s="138" t="str">
        <f t="shared" si="44"/>
        <v xml:space="preserve"> </v>
      </c>
      <c r="MU44" s="138" t="str">
        <f t="shared" si="44"/>
        <v xml:space="preserve"> </v>
      </c>
      <c r="MV44" s="138" t="str">
        <f t="shared" si="44"/>
        <v xml:space="preserve"> </v>
      </c>
      <c r="MW44" s="138" t="str">
        <f t="shared" si="44"/>
        <v xml:space="preserve"> </v>
      </c>
      <c r="MX44" s="138" t="str">
        <f t="shared" si="44"/>
        <v xml:space="preserve"> </v>
      </c>
      <c r="MY44" s="138" t="str">
        <f t="shared" si="44"/>
        <v xml:space="preserve"> </v>
      </c>
      <c r="MZ44" s="138" t="str">
        <f t="shared" si="44"/>
        <v xml:space="preserve"> </v>
      </c>
      <c r="NA44" s="138" t="str">
        <f t="shared" si="44"/>
        <v xml:space="preserve"> </v>
      </c>
      <c r="NB44" s="138" t="str">
        <f t="shared" si="44"/>
        <v xml:space="preserve"> </v>
      </c>
      <c r="NC44" s="138" t="str">
        <f t="shared" si="44"/>
        <v xml:space="preserve"> </v>
      </c>
      <c r="ND44" s="138" t="str">
        <f t="shared" si="44"/>
        <v xml:space="preserve"> </v>
      </c>
      <c r="NE44" s="138" t="str">
        <f t="shared" ref="NE44" si="45">IF(SUM(NE31:NE32)=0," ",(NE31+NE32)/NE33)</f>
        <v xml:space="preserve"> </v>
      </c>
    </row>
    <row r="45" spans="1:369" x14ac:dyDescent="0.2">
      <c r="A45" s="1"/>
      <c r="B45" s="21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</row>
    <row r="46" spans="1:369" x14ac:dyDescent="0.2">
      <c r="A46" s="1"/>
      <c r="B46" s="21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</row>
    <row r="47" spans="1:369" x14ac:dyDescent="0.2">
      <c r="B47" s="96"/>
    </row>
    <row r="48" spans="1:369" x14ac:dyDescent="0.2">
      <c r="B48" s="96"/>
    </row>
    <row r="49" spans="2:2" x14ac:dyDescent="0.2">
      <c r="B49" s="96"/>
    </row>
    <row r="50" spans="2:2" x14ac:dyDescent="0.2">
      <c r="B50" s="96"/>
    </row>
    <row r="51" spans="2:2" x14ac:dyDescent="0.2">
      <c r="B51" s="96"/>
    </row>
    <row r="52" spans="2:2" x14ac:dyDescent="0.2">
      <c r="B52" s="96"/>
    </row>
    <row r="53" spans="2:2" x14ac:dyDescent="0.2">
      <c r="B53" s="96"/>
    </row>
    <row r="54" spans="2:2" x14ac:dyDescent="0.2">
      <c r="B54" s="96"/>
    </row>
    <row r="55" spans="2:2" x14ac:dyDescent="0.2">
      <c r="B55" s="96"/>
    </row>
    <row r="56" spans="2:2" x14ac:dyDescent="0.2">
      <c r="B56" s="96"/>
    </row>
    <row r="57" spans="2:2" x14ac:dyDescent="0.2">
      <c r="B57" s="96"/>
    </row>
    <row r="58" spans="2:2" x14ac:dyDescent="0.2">
      <c r="B58" s="96"/>
    </row>
    <row r="59" spans="2:2" x14ac:dyDescent="0.2">
      <c r="B59" s="96"/>
    </row>
    <row r="60" spans="2:2" x14ac:dyDescent="0.2">
      <c r="B60" s="96"/>
    </row>
    <row r="61" spans="2:2" x14ac:dyDescent="0.2">
      <c r="B61" s="96"/>
    </row>
    <row r="62" spans="2:2" x14ac:dyDescent="0.2">
      <c r="B62" s="96"/>
    </row>
    <row r="63" spans="2:2" x14ac:dyDescent="0.2">
      <c r="B63" s="96"/>
    </row>
    <row r="64" spans="2:2" x14ac:dyDescent="0.2">
      <c r="B64" s="96"/>
    </row>
    <row r="65" spans="2:2" x14ac:dyDescent="0.2">
      <c r="B65" s="96"/>
    </row>
    <row r="66" spans="2:2" x14ac:dyDescent="0.2">
      <c r="B66" s="96"/>
    </row>
    <row r="67" spans="2:2" x14ac:dyDescent="0.2">
      <c r="B67" s="96"/>
    </row>
    <row r="68" spans="2:2" x14ac:dyDescent="0.2">
      <c r="B68" s="96"/>
    </row>
    <row r="49156" spans="4:369" x14ac:dyDescent="0.2">
      <c r="D49156" s="1"/>
      <c r="E49156" s="1"/>
      <c r="F49156" s="1"/>
      <c r="G49156" s="1"/>
      <c r="H49156" s="1"/>
      <c r="I49156" s="1"/>
      <c r="J49156" s="1"/>
      <c r="K49156" s="1"/>
      <c r="L49156" s="1"/>
      <c r="M49156" s="1"/>
      <c r="N49156" s="1"/>
      <c r="O49156" s="1"/>
      <c r="P49156" s="1"/>
      <c r="Q49156" s="1"/>
      <c r="R49156" s="1"/>
      <c r="S49156" s="1"/>
      <c r="T49156" s="1"/>
      <c r="U49156" s="1"/>
      <c r="V49156" s="1"/>
      <c r="W49156" s="1"/>
      <c r="X49156" s="1"/>
      <c r="Y49156" s="1"/>
      <c r="Z49156" s="1"/>
      <c r="AA49156" s="1"/>
      <c r="AB49156" s="1"/>
      <c r="AC49156" s="1"/>
      <c r="AD49156" s="1"/>
      <c r="AE49156" s="1"/>
      <c r="AF49156" s="1"/>
      <c r="AG49156" s="1"/>
      <c r="AH49156" s="1"/>
      <c r="AI49156" s="1"/>
      <c r="AJ49156" s="1"/>
      <c r="AK49156" s="1"/>
      <c r="AL49156" s="1"/>
      <c r="AM49156" s="1"/>
      <c r="AN49156" s="1"/>
      <c r="AO49156" s="1"/>
      <c r="AP49156" s="1"/>
      <c r="AQ49156" s="1"/>
      <c r="AR49156" s="1"/>
      <c r="AS49156" s="1"/>
      <c r="AT49156" s="1"/>
      <c r="AU49156" s="1"/>
      <c r="AV49156" s="1"/>
      <c r="AW49156" s="1"/>
      <c r="AX49156" s="1"/>
      <c r="AY49156" s="1"/>
      <c r="AZ49156" s="1"/>
      <c r="BA49156" s="1"/>
      <c r="BB49156" s="1"/>
      <c r="BC49156" s="1"/>
      <c r="BD49156" s="1"/>
      <c r="BE49156" s="1"/>
      <c r="BF49156" s="1"/>
      <c r="BG49156" s="1"/>
      <c r="BH49156" s="1"/>
      <c r="BI49156" s="1"/>
      <c r="BJ49156" s="1"/>
      <c r="BK49156" s="1"/>
      <c r="BL49156" s="1"/>
      <c r="BM49156" s="1"/>
      <c r="BN49156" s="1"/>
      <c r="BO49156" s="1"/>
      <c r="BP49156" s="1"/>
      <c r="BQ49156" s="1"/>
      <c r="BR49156" s="1"/>
      <c r="BS49156" s="1"/>
      <c r="BT49156" s="1"/>
      <c r="BU49156" s="1"/>
      <c r="BV49156" s="1"/>
      <c r="BW49156" s="1"/>
      <c r="BX49156" s="1"/>
      <c r="BY49156" s="1"/>
      <c r="BZ49156" s="1"/>
      <c r="CA49156" s="1"/>
      <c r="CB49156" s="1"/>
      <c r="CC49156" s="1"/>
      <c r="CD49156" s="1"/>
      <c r="CE49156" s="1"/>
      <c r="CF49156" s="1"/>
      <c r="CG49156" s="1"/>
      <c r="CH49156" s="1"/>
      <c r="CI49156" s="1"/>
      <c r="CJ49156" s="1"/>
      <c r="CK49156" s="1"/>
      <c r="CL49156" s="1"/>
      <c r="CM49156" s="1"/>
      <c r="CN49156" s="1"/>
      <c r="CO49156" s="1"/>
      <c r="CP49156" s="1"/>
      <c r="CQ49156" s="1"/>
      <c r="CR49156" s="1"/>
      <c r="CS49156" s="1"/>
      <c r="CT49156" s="1"/>
      <c r="CU49156" s="1"/>
      <c r="CV49156" s="1"/>
      <c r="CW49156" s="1"/>
      <c r="CX49156" s="1"/>
      <c r="CY49156" s="1"/>
      <c r="CZ49156" s="1"/>
      <c r="DA49156" s="1"/>
      <c r="DB49156" s="1"/>
      <c r="DC49156" s="1"/>
      <c r="DD49156" s="1"/>
      <c r="DE49156" s="1"/>
      <c r="DF49156" s="1"/>
      <c r="DG49156" s="1"/>
      <c r="DH49156" s="1"/>
      <c r="DI49156" s="1"/>
      <c r="DJ49156" s="1"/>
      <c r="DK49156" s="1"/>
      <c r="DL49156" s="1"/>
      <c r="DM49156" s="1"/>
      <c r="DN49156" s="1"/>
      <c r="DO49156" s="1"/>
      <c r="DP49156" s="1"/>
      <c r="DQ49156" s="1"/>
      <c r="DR49156" s="1"/>
      <c r="DS49156" s="1"/>
      <c r="DT49156" s="1"/>
      <c r="DU49156" s="1"/>
      <c r="DV49156" s="1"/>
      <c r="DW49156" s="1"/>
      <c r="DX49156" s="1"/>
      <c r="DY49156" s="1"/>
      <c r="DZ49156" s="1"/>
      <c r="EA49156" s="1"/>
      <c r="EB49156" s="1"/>
      <c r="EC49156" s="1"/>
      <c r="ED49156" s="1"/>
      <c r="EE49156" s="1"/>
      <c r="EF49156" s="1"/>
      <c r="EG49156" s="1"/>
      <c r="EH49156" s="1"/>
      <c r="EI49156" s="1"/>
      <c r="EJ49156" s="1"/>
      <c r="EK49156" s="1"/>
      <c r="EL49156" s="1"/>
      <c r="EM49156" s="1"/>
      <c r="EN49156" s="1"/>
      <c r="EO49156" s="1"/>
      <c r="EP49156" s="1"/>
      <c r="EQ49156" s="1"/>
      <c r="ER49156" s="1"/>
      <c r="ES49156" s="1"/>
      <c r="ET49156" s="1"/>
      <c r="EU49156" s="1"/>
      <c r="EV49156" s="1"/>
      <c r="EW49156" s="1"/>
      <c r="EX49156" s="1"/>
      <c r="EY49156" s="1"/>
      <c r="EZ49156" s="1"/>
      <c r="FA49156" s="1"/>
      <c r="FB49156" s="1"/>
      <c r="FC49156" s="1"/>
      <c r="FD49156" s="1"/>
      <c r="FE49156" s="1"/>
      <c r="FF49156" s="1"/>
      <c r="FG49156" s="1"/>
      <c r="FH49156" s="1"/>
      <c r="FI49156" s="1"/>
      <c r="FJ49156" s="1"/>
      <c r="FK49156" s="1"/>
      <c r="FL49156" s="1"/>
      <c r="FM49156" s="1"/>
      <c r="FN49156" s="1"/>
      <c r="FO49156" s="1"/>
      <c r="FP49156" s="1"/>
      <c r="FQ49156" s="1"/>
      <c r="FR49156" s="1"/>
      <c r="FS49156" s="1"/>
      <c r="FT49156" s="1"/>
      <c r="FU49156" s="1"/>
      <c r="FV49156" s="1"/>
      <c r="FW49156" s="1"/>
      <c r="FX49156" s="1"/>
      <c r="FY49156" s="1"/>
      <c r="FZ49156" s="1"/>
      <c r="GA49156" s="1"/>
      <c r="GB49156" s="1"/>
      <c r="GC49156" s="1"/>
      <c r="GD49156" s="1"/>
      <c r="GE49156" s="1"/>
      <c r="GF49156" s="1"/>
      <c r="GG49156" s="1"/>
      <c r="GH49156" s="1"/>
      <c r="GI49156" s="1"/>
      <c r="GJ49156" s="1"/>
      <c r="GK49156" s="1"/>
      <c r="GL49156" s="1"/>
      <c r="GM49156" s="1"/>
      <c r="GN49156" s="1"/>
      <c r="GO49156" s="1"/>
      <c r="GP49156" s="1"/>
      <c r="GQ49156" s="1"/>
      <c r="GR49156" s="1"/>
      <c r="GS49156" s="1"/>
      <c r="GT49156" s="1"/>
      <c r="GU49156" s="1"/>
      <c r="GV49156" s="1"/>
      <c r="GW49156" s="1"/>
      <c r="GX49156" s="1"/>
      <c r="GY49156" s="1"/>
      <c r="GZ49156" s="1"/>
      <c r="HA49156" s="1"/>
      <c r="HB49156" s="1"/>
      <c r="HC49156" s="1"/>
      <c r="HD49156" s="1"/>
      <c r="HE49156" s="1"/>
      <c r="HF49156" s="1"/>
      <c r="HG49156" s="1"/>
      <c r="HH49156" s="1"/>
      <c r="HI49156" s="1"/>
      <c r="HJ49156" s="1"/>
      <c r="HK49156" s="1"/>
      <c r="HL49156" s="1"/>
      <c r="HM49156" s="1"/>
      <c r="HN49156" s="1"/>
      <c r="HO49156" s="1"/>
      <c r="HP49156" s="1"/>
      <c r="HQ49156" s="1"/>
      <c r="HR49156" s="1"/>
      <c r="HS49156" s="1"/>
      <c r="HT49156" s="1"/>
      <c r="HU49156" s="1"/>
      <c r="HV49156" s="1"/>
      <c r="HW49156" s="1"/>
      <c r="HX49156" s="1"/>
      <c r="HY49156" s="1"/>
      <c r="HZ49156" s="1"/>
      <c r="IA49156" s="1"/>
      <c r="IB49156" s="1"/>
      <c r="IC49156" s="1"/>
      <c r="ID49156" s="1"/>
      <c r="IE49156" s="1"/>
      <c r="IF49156" s="1"/>
      <c r="IG49156" s="1"/>
      <c r="IH49156" s="1"/>
      <c r="II49156" s="1"/>
      <c r="IJ49156" s="1"/>
      <c r="IK49156" s="1"/>
      <c r="IL49156" s="1"/>
      <c r="IM49156" s="1"/>
      <c r="IN49156" s="1"/>
      <c r="IO49156" s="1"/>
      <c r="IP49156" s="1"/>
      <c r="IQ49156" s="1"/>
      <c r="IR49156" s="1"/>
      <c r="IS49156" s="1"/>
      <c r="IT49156" s="1"/>
      <c r="IU49156" s="1"/>
      <c r="IV49156" s="1"/>
      <c r="IW49156" s="1"/>
      <c r="IX49156" s="1"/>
      <c r="IY49156" s="1"/>
      <c r="IZ49156" s="1"/>
      <c r="JA49156" s="1"/>
      <c r="JB49156" s="1"/>
      <c r="JC49156" s="1"/>
      <c r="JD49156" s="1"/>
      <c r="JE49156" s="1"/>
      <c r="JF49156" s="1"/>
      <c r="JG49156" s="1"/>
      <c r="JH49156" s="1"/>
      <c r="JI49156" s="1"/>
      <c r="JJ49156" s="1"/>
      <c r="JK49156" s="1"/>
      <c r="JL49156" s="1"/>
      <c r="JM49156" s="1"/>
      <c r="JN49156" s="1"/>
      <c r="JO49156" s="1"/>
      <c r="JP49156" s="1"/>
      <c r="JQ49156" s="1"/>
      <c r="JR49156" s="1"/>
      <c r="JS49156" s="1"/>
      <c r="JT49156" s="1"/>
      <c r="JU49156" s="1"/>
      <c r="JV49156" s="1"/>
      <c r="JW49156" s="1"/>
      <c r="JX49156" s="1"/>
      <c r="JY49156" s="1"/>
      <c r="JZ49156" s="1"/>
      <c r="KA49156" s="1"/>
      <c r="KB49156" s="1"/>
      <c r="KC49156" s="1"/>
      <c r="KD49156" s="1"/>
      <c r="KE49156" s="1"/>
      <c r="KF49156" s="1"/>
      <c r="KG49156" s="1"/>
      <c r="KH49156" s="1"/>
      <c r="KI49156" s="1"/>
      <c r="KJ49156" s="1"/>
      <c r="KK49156" s="1"/>
      <c r="KL49156" s="1"/>
      <c r="KM49156" s="1"/>
      <c r="KN49156" s="1"/>
      <c r="KO49156" s="1"/>
      <c r="KP49156" s="1"/>
      <c r="KQ49156" s="1"/>
      <c r="KR49156" s="1"/>
      <c r="KS49156" s="1"/>
      <c r="KT49156" s="1"/>
      <c r="KU49156" s="1"/>
      <c r="KV49156" s="1"/>
      <c r="KW49156" s="1"/>
      <c r="KX49156" s="1"/>
      <c r="KY49156" s="1"/>
      <c r="KZ49156" s="1"/>
      <c r="LA49156" s="1"/>
      <c r="LB49156" s="1"/>
      <c r="LC49156" s="1"/>
      <c r="LD49156" s="1"/>
      <c r="LE49156" s="1"/>
      <c r="LF49156" s="1"/>
      <c r="LG49156" s="1"/>
      <c r="LH49156" s="1"/>
      <c r="LI49156" s="1"/>
      <c r="LJ49156" s="1"/>
      <c r="LK49156" s="1"/>
      <c r="LL49156" s="1"/>
      <c r="LM49156" s="1"/>
      <c r="LN49156" s="1"/>
      <c r="LO49156" s="1"/>
      <c r="LP49156" s="1"/>
      <c r="LQ49156" s="1"/>
      <c r="LR49156" s="1"/>
      <c r="LS49156" s="1"/>
      <c r="LT49156" s="1"/>
      <c r="LU49156" s="1"/>
      <c r="LV49156" s="1"/>
      <c r="LW49156" s="1"/>
      <c r="LX49156" s="1"/>
      <c r="LY49156" s="1"/>
      <c r="LZ49156" s="1"/>
      <c r="MA49156" s="1"/>
      <c r="MB49156" s="1"/>
      <c r="MC49156" s="1"/>
      <c r="MD49156" s="1"/>
      <c r="ME49156" s="1"/>
      <c r="MF49156" s="1"/>
      <c r="MG49156" s="1"/>
      <c r="MH49156" s="1"/>
      <c r="MI49156" s="1"/>
      <c r="MJ49156" s="1"/>
      <c r="MK49156" s="1"/>
      <c r="ML49156" s="1"/>
      <c r="MM49156" s="1"/>
      <c r="MN49156" s="1"/>
      <c r="MO49156" s="1"/>
      <c r="MP49156" s="1"/>
      <c r="MQ49156" s="1"/>
      <c r="MR49156" s="1"/>
      <c r="MS49156" s="1"/>
      <c r="MT49156" s="1"/>
      <c r="MU49156" s="1"/>
      <c r="MV49156" s="1"/>
      <c r="MW49156" s="1"/>
      <c r="MX49156" s="1"/>
      <c r="MY49156" s="1"/>
      <c r="MZ49156" s="1"/>
      <c r="NA49156" s="1"/>
      <c r="NB49156" s="1"/>
      <c r="NC49156" s="1"/>
      <c r="ND49156" s="1"/>
      <c r="NE49156" s="1"/>
    </row>
  </sheetData>
  <sheetProtection sheet="1" formatCells="0"/>
  <conditionalFormatting sqref="D2:E2">
    <cfRule type="timePeriod" dxfId="3" priority="1" timePeriod="lastWeek">
      <formula>AND(TODAY()-ROUNDDOWN(D2,0)&gt;=(WEEKDAY(TODAY())),TODAY()-ROUNDDOWN(D2,0)&lt;(WEEKDAY(TODAY())+7))</formula>
    </cfRule>
  </conditionalFormatting>
  <pageMargins left="0.7" right="0.7" top="0.75" bottom="0.75" header="0.3" footer="0.3"/>
  <pageSetup orientation="portrait" horizontalDpi="4294967293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5D5BA-7579-46D6-94EB-1AEE581B7145}">
  <dimension ref="A1:BD49154"/>
  <sheetViews>
    <sheetView topLeftCell="A2" zoomScaleNormal="100" workbookViewId="0">
      <pane xSplit="1" ySplit="1" topLeftCell="B3" activePane="bottomRight" state="frozen"/>
      <selection activeCell="A2" sqref="A2"/>
      <selection pane="topRight" activeCell="B2" sqref="B2"/>
      <selection pane="bottomLeft" activeCell="A3" sqref="A3"/>
      <selection pane="bottomRight" activeCell="AC13" sqref="AC13"/>
    </sheetView>
  </sheetViews>
  <sheetFormatPr baseColWidth="10" defaultRowHeight="15" x14ac:dyDescent="0.2"/>
  <cols>
    <col min="1" max="1" width="29.5" bestFit="1" customWidth="1"/>
    <col min="38" max="38" width="11.6640625" customWidth="1"/>
  </cols>
  <sheetData>
    <row r="1" spans="1:55" ht="16" thickBot="1" x14ac:dyDescent="0.25">
      <c r="A1" s="2"/>
      <c r="B1" s="2"/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</row>
    <row r="2" spans="1:55" ht="16" thickBot="1" x14ac:dyDescent="0.25">
      <c r="A2" s="3" t="s">
        <v>0</v>
      </c>
      <c r="B2" s="8"/>
      <c r="C2" s="27" t="s">
        <v>29</v>
      </c>
      <c r="D2" s="27" t="s">
        <v>30</v>
      </c>
      <c r="E2" s="27" t="s">
        <v>31</v>
      </c>
      <c r="F2" s="27" t="s">
        <v>32</v>
      </c>
      <c r="G2" s="27" t="s">
        <v>33</v>
      </c>
      <c r="H2" s="27" t="s">
        <v>34</v>
      </c>
      <c r="I2" s="27" t="s">
        <v>35</v>
      </c>
      <c r="J2" s="27" t="s">
        <v>36</v>
      </c>
      <c r="K2" s="27" t="s">
        <v>37</v>
      </c>
      <c r="L2" s="27" t="s">
        <v>38</v>
      </c>
      <c r="M2" s="27" t="s">
        <v>39</v>
      </c>
      <c r="N2" s="27" t="s">
        <v>40</v>
      </c>
      <c r="O2" s="27" t="s">
        <v>41</v>
      </c>
      <c r="P2" s="27" t="s">
        <v>42</v>
      </c>
      <c r="Q2" s="27" t="s">
        <v>43</v>
      </c>
      <c r="R2" s="27" t="s">
        <v>44</v>
      </c>
      <c r="S2" s="27" t="s">
        <v>45</v>
      </c>
      <c r="T2" s="27" t="s">
        <v>46</v>
      </c>
      <c r="U2" s="27" t="s">
        <v>47</v>
      </c>
      <c r="V2" s="27" t="s">
        <v>48</v>
      </c>
      <c r="W2" s="27" t="s">
        <v>49</v>
      </c>
      <c r="X2" s="27" t="s">
        <v>50</v>
      </c>
      <c r="Y2" s="27" t="s">
        <v>51</v>
      </c>
      <c r="Z2" s="27" t="s">
        <v>52</v>
      </c>
      <c r="AA2" s="27" t="s">
        <v>53</v>
      </c>
      <c r="AB2" s="27" t="s">
        <v>54</v>
      </c>
      <c r="AC2" s="27" t="s">
        <v>55</v>
      </c>
      <c r="AD2" s="27" t="s">
        <v>56</v>
      </c>
      <c r="AE2" s="27" t="s">
        <v>57</v>
      </c>
      <c r="AF2" s="27" t="s">
        <v>58</v>
      </c>
      <c r="AG2" s="27" t="s">
        <v>59</v>
      </c>
      <c r="AH2" s="27" t="s">
        <v>60</v>
      </c>
      <c r="AI2" s="27" t="s">
        <v>61</v>
      </c>
      <c r="AJ2" s="27" t="s">
        <v>62</v>
      </c>
      <c r="AK2" s="27" t="s">
        <v>63</v>
      </c>
      <c r="AL2" s="27" t="s">
        <v>64</v>
      </c>
      <c r="AM2" s="27" t="s">
        <v>65</v>
      </c>
      <c r="AN2" s="27" t="s">
        <v>66</v>
      </c>
      <c r="AO2" s="27" t="s">
        <v>67</v>
      </c>
      <c r="AP2" s="27" t="s">
        <v>68</v>
      </c>
      <c r="AQ2" s="27" t="s">
        <v>69</v>
      </c>
      <c r="AR2" s="27" t="s">
        <v>70</v>
      </c>
      <c r="AS2" s="27" t="s">
        <v>71</v>
      </c>
      <c r="AT2" s="27" t="s">
        <v>72</v>
      </c>
      <c r="AU2" s="27" t="s">
        <v>73</v>
      </c>
      <c r="AV2" s="27" t="s">
        <v>74</v>
      </c>
      <c r="AW2" s="27" t="s">
        <v>75</v>
      </c>
      <c r="AX2" s="27" t="s">
        <v>76</v>
      </c>
      <c r="AY2" s="27" t="s">
        <v>77</v>
      </c>
      <c r="AZ2" s="27" t="s">
        <v>78</v>
      </c>
      <c r="BA2" s="27" t="s">
        <v>79</v>
      </c>
      <c r="BB2" s="27" t="s">
        <v>80</v>
      </c>
      <c r="BC2" s="27" t="s">
        <v>159</v>
      </c>
    </row>
    <row r="3" spans="1:55" s="96" customFormat="1" x14ac:dyDescent="0.2">
      <c r="A3" s="95" t="s">
        <v>1</v>
      </c>
      <c r="B3" s="68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</row>
    <row r="4" spans="1:55" s="96" customFormat="1" x14ac:dyDescent="0.2">
      <c r="A4" s="97" t="s">
        <v>2</v>
      </c>
      <c r="B4" s="70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</row>
    <row r="5" spans="1:55" s="96" customFormat="1" x14ac:dyDescent="0.2">
      <c r="A5" s="98" t="s">
        <v>3</v>
      </c>
      <c r="B5" s="70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</row>
    <row r="6" spans="1:55" s="96" customFormat="1" x14ac:dyDescent="0.2">
      <c r="A6" s="98" t="s">
        <v>4</v>
      </c>
      <c r="B6" s="70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</row>
    <row r="7" spans="1:55" s="96" customFormat="1" ht="16" thickBot="1" x14ac:dyDescent="0.25">
      <c r="A7" s="99" t="s">
        <v>5</v>
      </c>
      <c r="B7" s="73"/>
      <c r="C7" s="74">
        <v>0</v>
      </c>
      <c r="D7" s="74"/>
      <c r="E7" s="74">
        <v>0</v>
      </c>
      <c r="F7" s="74">
        <v>0</v>
      </c>
      <c r="G7" s="74">
        <v>0</v>
      </c>
      <c r="H7" s="74">
        <v>0</v>
      </c>
      <c r="I7" s="74"/>
      <c r="J7" s="74"/>
      <c r="K7" s="74">
        <v>0</v>
      </c>
      <c r="L7" s="74">
        <v>0</v>
      </c>
      <c r="M7" s="74">
        <v>0</v>
      </c>
      <c r="N7" s="74">
        <v>0</v>
      </c>
      <c r="O7" s="74"/>
      <c r="P7" s="74">
        <v>0</v>
      </c>
      <c r="Q7" s="74">
        <v>0</v>
      </c>
      <c r="R7" s="74">
        <v>0</v>
      </c>
      <c r="S7" s="74">
        <v>0</v>
      </c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</row>
    <row r="8" spans="1:55" s="96" customFormat="1" ht="16" thickBot="1" x14ac:dyDescent="0.25">
      <c r="A8" s="76"/>
      <c r="B8" s="75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</row>
    <row r="9" spans="1:55" s="96" customFormat="1" x14ac:dyDescent="0.2">
      <c r="A9" s="100" t="s">
        <v>6</v>
      </c>
      <c r="B9" s="77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</row>
    <row r="10" spans="1:55" s="96" customFormat="1" x14ac:dyDescent="0.2">
      <c r="A10" s="101" t="s">
        <v>7</v>
      </c>
      <c r="B10" s="79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</row>
    <row r="11" spans="1:55" s="96" customFormat="1" x14ac:dyDescent="0.2">
      <c r="A11" s="102" t="s">
        <v>166</v>
      </c>
      <c r="B11" s="81"/>
      <c r="C11" s="82">
        <v>2422</v>
      </c>
      <c r="D11" s="82">
        <v>2761</v>
      </c>
      <c r="E11" s="82">
        <v>2955</v>
      </c>
      <c r="F11" s="82">
        <v>2618</v>
      </c>
      <c r="G11" s="189">
        <v>5363</v>
      </c>
      <c r="H11" s="82">
        <v>4345</v>
      </c>
      <c r="I11" s="82">
        <v>3520</v>
      </c>
      <c r="J11" s="82">
        <v>3830</v>
      </c>
      <c r="K11" s="82">
        <v>3621</v>
      </c>
      <c r="L11" s="82">
        <v>1905</v>
      </c>
      <c r="M11" s="82">
        <v>1232</v>
      </c>
      <c r="N11" s="82">
        <v>2175</v>
      </c>
      <c r="O11" s="82">
        <v>2058</v>
      </c>
      <c r="P11" s="82">
        <v>2145</v>
      </c>
      <c r="Q11" s="82">
        <v>2694</v>
      </c>
      <c r="R11" s="82">
        <v>2445</v>
      </c>
      <c r="S11" s="82">
        <v>450</v>
      </c>
      <c r="T11" s="82">
        <v>1020</v>
      </c>
      <c r="U11" s="82">
        <v>2544</v>
      </c>
      <c r="V11" s="82">
        <v>2160</v>
      </c>
      <c r="W11" s="82">
        <v>1800</v>
      </c>
      <c r="X11" s="82">
        <v>1230</v>
      </c>
      <c r="Y11" s="82">
        <v>2538</v>
      </c>
      <c r="Z11" s="82">
        <v>2169</v>
      </c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</row>
    <row r="12" spans="1:55" s="254" customFormat="1" x14ac:dyDescent="0.2">
      <c r="A12" s="253" t="s">
        <v>167</v>
      </c>
      <c r="B12" s="228"/>
      <c r="C12" s="222">
        <v>918</v>
      </c>
      <c r="D12" s="222">
        <v>1549</v>
      </c>
      <c r="E12" s="222">
        <v>1389</v>
      </c>
      <c r="F12" s="222">
        <v>901</v>
      </c>
      <c r="G12" s="222">
        <v>1494</v>
      </c>
      <c r="H12" s="222">
        <v>2545</v>
      </c>
      <c r="I12" s="222">
        <v>1872</v>
      </c>
      <c r="J12" s="222">
        <v>1290</v>
      </c>
      <c r="K12" s="222">
        <v>1095</v>
      </c>
      <c r="L12" s="222">
        <v>1355</v>
      </c>
      <c r="M12" s="222">
        <v>585</v>
      </c>
      <c r="N12" s="222">
        <v>1518</v>
      </c>
      <c r="O12" s="222">
        <v>465</v>
      </c>
      <c r="P12" s="222">
        <v>789</v>
      </c>
      <c r="Q12" s="222">
        <v>378</v>
      </c>
      <c r="R12" s="222">
        <v>378</v>
      </c>
      <c r="S12" s="222">
        <v>690</v>
      </c>
      <c r="T12" s="222">
        <v>300</v>
      </c>
      <c r="U12" s="222">
        <v>1308</v>
      </c>
      <c r="V12" s="222">
        <v>600</v>
      </c>
      <c r="W12" s="222">
        <v>1395</v>
      </c>
      <c r="X12" s="222">
        <v>300</v>
      </c>
      <c r="Y12" s="222"/>
      <c r="Z12" s="222">
        <v>1068</v>
      </c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</row>
    <row r="13" spans="1:55" s="96" customFormat="1" x14ac:dyDescent="0.2">
      <c r="A13" s="102" t="s">
        <v>10</v>
      </c>
      <c r="B13" s="81"/>
      <c r="C13" s="82">
        <v>1747</v>
      </c>
      <c r="D13" s="82">
        <v>2197</v>
      </c>
      <c r="E13" s="82">
        <v>1452</v>
      </c>
      <c r="F13" s="82">
        <v>2193</v>
      </c>
      <c r="G13" s="82">
        <v>2384</v>
      </c>
      <c r="H13" s="82">
        <v>2441</v>
      </c>
      <c r="I13" s="82">
        <v>2807</v>
      </c>
      <c r="J13" s="82">
        <v>3138</v>
      </c>
      <c r="K13" s="82">
        <v>2672</v>
      </c>
      <c r="L13" s="82">
        <v>1872</v>
      </c>
      <c r="M13" s="82">
        <v>994</v>
      </c>
      <c r="N13" s="82">
        <v>1239</v>
      </c>
      <c r="O13" s="82">
        <v>856</v>
      </c>
      <c r="P13" s="82">
        <v>1392</v>
      </c>
      <c r="Q13" s="82">
        <v>916</v>
      </c>
      <c r="R13" s="82">
        <v>660</v>
      </c>
      <c r="S13" s="82">
        <v>832</v>
      </c>
      <c r="T13" s="82">
        <v>876</v>
      </c>
      <c r="U13" s="82">
        <v>676</v>
      </c>
      <c r="V13" s="82">
        <v>921</v>
      </c>
      <c r="W13" s="82">
        <v>916</v>
      </c>
      <c r="X13" s="82">
        <v>960</v>
      </c>
      <c r="Y13" s="82">
        <v>928</v>
      </c>
      <c r="Z13" s="82">
        <v>720</v>
      </c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</row>
    <row r="14" spans="1:55" s="96" customFormat="1" ht="16" thickBot="1" x14ac:dyDescent="0.25">
      <c r="A14" s="103" t="s">
        <v>11</v>
      </c>
      <c r="B14" s="84"/>
      <c r="C14" s="85">
        <v>800</v>
      </c>
      <c r="D14" s="85">
        <v>504</v>
      </c>
      <c r="E14" s="85">
        <v>823</v>
      </c>
      <c r="F14" s="85">
        <v>597</v>
      </c>
      <c r="G14" s="85">
        <v>816</v>
      </c>
      <c r="H14" s="85">
        <v>890</v>
      </c>
      <c r="I14" s="85">
        <v>1146</v>
      </c>
      <c r="J14" s="85">
        <v>1448</v>
      </c>
      <c r="K14" s="85">
        <v>950</v>
      </c>
      <c r="L14" s="85">
        <v>314</v>
      </c>
      <c r="M14" s="85">
        <v>572</v>
      </c>
      <c r="N14" s="85">
        <v>696</v>
      </c>
      <c r="O14" s="85">
        <v>156</v>
      </c>
      <c r="P14" s="85">
        <v>444</v>
      </c>
      <c r="Q14" s="85">
        <v>517</v>
      </c>
      <c r="R14" s="85">
        <v>144</v>
      </c>
      <c r="S14" s="85">
        <v>144</v>
      </c>
      <c r="T14" s="85">
        <v>384</v>
      </c>
      <c r="U14" s="85">
        <v>144</v>
      </c>
      <c r="V14" s="85">
        <v>144</v>
      </c>
      <c r="W14" s="85">
        <v>420</v>
      </c>
      <c r="X14" s="85">
        <v>288</v>
      </c>
      <c r="Y14" s="85">
        <v>180</v>
      </c>
      <c r="Z14" s="85">
        <v>336</v>
      </c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</row>
    <row r="15" spans="1:55" s="96" customFormat="1" x14ac:dyDescent="0.2">
      <c r="A15" s="104" t="s">
        <v>6</v>
      </c>
      <c r="B15" s="86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</row>
    <row r="16" spans="1:55" s="96" customFormat="1" x14ac:dyDescent="0.2">
      <c r="A16" s="101" t="s">
        <v>7</v>
      </c>
      <c r="B16" s="79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</row>
    <row r="17" spans="1:56" s="96" customFormat="1" x14ac:dyDescent="0.2">
      <c r="A17" s="102" t="s">
        <v>12</v>
      </c>
      <c r="B17" s="81"/>
      <c r="C17" s="82">
        <v>402</v>
      </c>
      <c r="D17" s="82">
        <v>369</v>
      </c>
      <c r="E17" s="82">
        <v>703</v>
      </c>
      <c r="F17" s="82">
        <v>404</v>
      </c>
      <c r="G17" s="82">
        <v>843</v>
      </c>
      <c r="H17" s="82">
        <v>381</v>
      </c>
      <c r="I17" s="82">
        <v>717</v>
      </c>
      <c r="J17" s="82">
        <v>526</v>
      </c>
      <c r="K17" s="82">
        <v>675</v>
      </c>
      <c r="L17" s="82">
        <v>463</v>
      </c>
      <c r="M17" s="82">
        <v>497</v>
      </c>
      <c r="N17" s="82">
        <v>625</v>
      </c>
      <c r="O17" s="82">
        <v>392</v>
      </c>
      <c r="P17" s="82">
        <v>938</v>
      </c>
      <c r="Q17" s="82">
        <v>563</v>
      </c>
      <c r="R17" s="82">
        <v>144</v>
      </c>
      <c r="S17" s="82">
        <v>644</v>
      </c>
      <c r="T17" s="82">
        <v>480</v>
      </c>
      <c r="U17" s="82">
        <v>248</v>
      </c>
      <c r="V17" s="82">
        <v>528</v>
      </c>
      <c r="W17" s="82">
        <v>608</v>
      </c>
      <c r="X17" s="82">
        <v>348</v>
      </c>
      <c r="Y17" s="82">
        <v>392</v>
      </c>
      <c r="Z17" s="82">
        <v>604</v>
      </c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</row>
    <row r="18" spans="1:56" s="96" customFormat="1" x14ac:dyDescent="0.2">
      <c r="A18" s="102" t="s">
        <v>13</v>
      </c>
      <c r="B18" s="81"/>
      <c r="C18" s="82">
        <v>48</v>
      </c>
      <c r="D18" s="82">
        <v>141</v>
      </c>
      <c r="E18" s="82">
        <v>140</v>
      </c>
      <c r="F18" s="82">
        <v>12</v>
      </c>
      <c r="G18" s="82"/>
      <c r="H18" s="82"/>
      <c r="I18" s="82"/>
      <c r="J18" s="82">
        <v>36</v>
      </c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>
        <v>24</v>
      </c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</row>
    <row r="19" spans="1:56" s="130" customFormat="1" x14ac:dyDescent="0.2">
      <c r="A19" s="18" t="s">
        <v>133</v>
      </c>
      <c r="B19" s="81"/>
      <c r="C19" s="128">
        <v>252</v>
      </c>
      <c r="D19" s="128">
        <v>192</v>
      </c>
      <c r="E19" s="128"/>
      <c r="F19" s="128">
        <v>273</v>
      </c>
      <c r="G19" s="128">
        <v>169</v>
      </c>
      <c r="H19" s="128">
        <v>600</v>
      </c>
      <c r="I19" s="128">
        <v>378</v>
      </c>
      <c r="J19" s="128">
        <v>661</v>
      </c>
      <c r="K19" s="128">
        <v>547</v>
      </c>
      <c r="L19" s="128"/>
      <c r="M19" s="128">
        <v>393</v>
      </c>
      <c r="N19" s="128"/>
      <c r="O19" s="128">
        <v>96</v>
      </c>
      <c r="P19" s="128">
        <v>404</v>
      </c>
      <c r="Q19" s="128"/>
      <c r="R19" s="128">
        <v>63</v>
      </c>
      <c r="S19" s="128"/>
      <c r="T19" s="128">
        <v>48</v>
      </c>
      <c r="U19" s="128">
        <v>144</v>
      </c>
      <c r="V19" s="128">
        <v>315</v>
      </c>
      <c r="W19" s="128">
        <v>372</v>
      </c>
      <c r="X19" s="128">
        <v>240</v>
      </c>
      <c r="Y19" s="128"/>
      <c r="Z19" s="128">
        <v>96</v>
      </c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</row>
    <row r="20" spans="1:56" s="96" customFormat="1" ht="16" thickBot="1" x14ac:dyDescent="0.25">
      <c r="A20" s="103" t="s">
        <v>135</v>
      </c>
      <c r="B20" s="127"/>
      <c r="C20" s="128"/>
      <c r="D20" s="128">
        <v>182</v>
      </c>
      <c r="E20" s="128">
        <v>209</v>
      </c>
      <c r="F20" s="128">
        <v>476</v>
      </c>
      <c r="G20" s="128">
        <v>302</v>
      </c>
      <c r="H20" s="128">
        <v>483</v>
      </c>
      <c r="I20" s="128">
        <v>452</v>
      </c>
      <c r="J20" s="128">
        <v>731</v>
      </c>
      <c r="K20" s="128">
        <v>517</v>
      </c>
      <c r="L20" s="128">
        <v>140</v>
      </c>
      <c r="M20" s="128">
        <v>269</v>
      </c>
      <c r="N20" s="128">
        <v>112</v>
      </c>
      <c r="O20" s="128">
        <v>252</v>
      </c>
      <c r="P20" s="128">
        <v>280</v>
      </c>
      <c r="Q20" s="128">
        <v>170</v>
      </c>
      <c r="R20" s="128">
        <v>168</v>
      </c>
      <c r="S20" s="128">
        <v>168</v>
      </c>
      <c r="T20" s="128"/>
      <c r="U20" s="128">
        <v>168</v>
      </c>
      <c r="V20" s="128">
        <v>166</v>
      </c>
      <c r="W20" s="128">
        <v>142</v>
      </c>
      <c r="X20" s="128">
        <v>56</v>
      </c>
      <c r="Y20" s="128">
        <v>168</v>
      </c>
      <c r="Z20" s="128">
        <v>192</v>
      </c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10"/>
    </row>
    <row r="21" spans="1:56" s="96" customFormat="1" x14ac:dyDescent="0.2">
      <c r="A21" s="100" t="s">
        <v>6</v>
      </c>
      <c r="B21" s="77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</row>
    <row r="22" spans="1:56" s="96" customFormat="1" x14ac:dyDescent="0.2">
      <c r="A22" s="101" t="s">
        <v>7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</row>
    <row r="23" spans="1:56" s="171" customFormat="1" x14ac:dyDescent="0.2">
      <c r="A23" s="170" t="s">
        <v>168</v>
      </c>
      <c r="B23" s="166"/>
      <c r="C23" s="167">
        <v>144</v>
      </c>
      <c r="D23" s="167">
        <v>236</v>
      </c>
      <c r="E23" s="167">
        <v>130</v>
      </c>
      <c r="F23" s="167">
        <v>96</v>
      </c>
      <c r="G23" s="167">
        <v>170</v>
      </c>
      <c r="H23" s="167">
        <v>172</v>
      </c>
      <c r="I23" s="167">
        <v>384</v>
      </c>
      <c r="J23" s="167">
        <v>187</v>
      </c>
      <c r="K23" s="167">
        <v>426</v>
      </c>
      <c r="L23" s="167">
        <v>160</v>
      </c>
      <c r="M23" s="167">
        <v>96</v>
      </c>
      <c r="N23" s="167">
        <v>284</v>
      </c>
      <c r="O23" s="167"/>
      <c r="P23" s="167">
        <v>192</v>
      </c>
      <c r="Q23" s="167">
        <v>48</v>
      </c>
      <c r="R23" s="167"/>
      <c r="S23" s="167">
        <v>184</v>
      </c>
      <c r="T23" s="168">
        <v>60</v>
      </c>
      <c r="U23" s="168"/>
      <c r="V23" s="168">
        <v>76</v>
      </c>
      <c r="W23" s="167">
        <v>128</v>
      </c>
      <c r="X23" s="167">
        <v>124</v>
      </c>
      <c r="Y23" s="167"/>
      <c r="Z23" s="167">
        <v>88</v>
      </c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  <c r="AP23" s="167"/>
      <c r="AQ23" s="167"/>
      <c r="AR23" s="167"/>
      <c r="AS23" s="167"/>
      <c r="AT23" s="167"/>
      <c r="AU23" s="167"/>
      <c r="AV23" s="167"/>
      <c r="AW23" s="167"/>
      <c r="AX23" s="167"/>
      <c r="AY23" s="167"/>
      <c r="AZ23" s="167"/>
      <c r="BA23" s="167"/>
      <c r="BB23" s="167"/>
      <c r="BC23" s="167"/>
    </row>
    <row r="24" spans="1:56" s="96" customFormat="1" ht="16" thickBot="1" x14ac:dyDescent="0.25">
      <c r="A24" s="106" t="s">
        <v>169</v>
      </c>
      <c r="B24" s="84"/>
      <c r="C24" s="83">
        <v>289</v>
      </c>
      <c r="D24" s="83">
        <v>341</v>
      </c>
      <c r="E24" s="83">
        <v>212</v>
      </c>
      <c r="F24" s="83">
        <v>421</v>
      </c>
      <c r="G24" s="83">
        <v>229</v>
      </c>
      <c r="H24" s="83">
        <v>326</v>
      </c>
      <c r="I24" s="83">
        <v>531</v>
      </c>
      <c r="J24" s="83">
        <v>520</v>
      </c>
      <c r="K24" s="83">
        <v>576</v>
      </c>
      <c r="L24" s="83">
        <v>180</v>
      </c>
      <c r="M24" s="83">
        <v>316</v>
      </c>
      <c r="N24" s="83">
        <v>282</v>
      </c>
      <c r="O24" s="83">
        <v>188</v>
      </c>
      <c r="P24" s="83">
        <v>347</v>
      </c>
      <c r="Q24" s="83">
        <v>108</v>
      </c>
      <c r="R24" s="83">
        <v>188</v>
      </c>
      <c r="S24" s="83">
        <v>175</v>
      </c>
      <c r="T24" s="83">
        <v>60</v>
      </c>
      <c r="U24" s="83">
        <v>257</v>
      </c>
      <c r="V24" s="83">
        <v>344</v>
      </c>
      <c r="W24" s="83">
        <v>210</v>
      </c>
      <c r="X24" s="83">
        <v>175</v>
      </c>
      <c r="Y24" s="83">
        <v>36</v>
      </c>
      <c r="Z24" s="83">
        <v>330</v>
      </c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</row>
    <row r="25" spans="1:56" s="96" customFormat="1" ht="16" thickBot="1" x14ac:dyDescent="0.25">
      <c r="A25" s="104"/>
      <c r="B25" s="77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</row>
    <row r="26" spans="1:56" s="96" customFormat="1" ht="16" thickBot="1" x14ac:dyDescent="0.25">
      <c r="A26" s="105" t="s">
        <v>91</v>
      </c>
      <c r="B26" s="84"/>
      <c r="C26" s="83">
        <v>925</v>
      </c>
      <c r="D26" s="83">
        <v>1167</v>
      </c>
      <c r="E26" s="83">
        <v>1333</v>
      </c>
      <c r="F26" s="83">
        <v>1582</v>
      </c>
      <c r="G26" s="83">
        <v>1952</v>
      </c>
      <c r="H26" s="83">
        <v>1858</v>
      </c>
      <c r="I26" s="83">
        <v>1876</v>
      </c>
      <c r="J26" s="83">
        <v>2207</v>
      </c>
      <c r="K26" s="83">
        <v>1880</v>
      </c>
      <c r="L26" s="83">
        <v>1040</v>
      </c>
      <c r="M26" s="83">
        <v>1250</v>
      </c>
      <c r="N26" s="83">
        <v>1204</v>
      </c>
      <c r="O26" s="83">
        <v>1067</v>
      </c>
      <c r="P26" s="83">
        <v>720</v>
      </c>
      <c r="Q26" s="83">
        <v>821</v>
      </c>
      <c r="R26" s="83">
        <v>892</v>
      </c>
      <c r="S26" s="83">
        <v>980</v>
      </c>
      <c r="T26" s="83">
        <v>582</v>
      </c>
      <c r="U26" s="83">
        <v>600</v>
      </c>
      <c r="V26" s="83">
        <v>520</v>
      </c>
      <c r="W26" s="83">
        <v>592</v>
      </c>
      <c r="X26" s="83">
        <v>700</v>
      </c>
      <c r="Y26" s="83">
        <v>487</v>
      </c>
      <c r="Z26" s="83">
        <v>592</v>
      </c>
      <c r="AA26" s="83"/>
      <c r="AB26" s="83"/>
      <c r="AC26" s="83"/>
      <c r="AD26" s="83"/>
      <c r="AE26" s="83"/>
      <c r="AF26" s="83"/>
      <c r="AG26" s="83"/>
      <c r="AH26" s="93"/>
      <c r="AI26" s="93"/>
      <c r="AJ26" s="93"/>
      <c r="AK26" s="126"/>
      <c r="AL26" s="83"/>
      <c r="AM26" s="83"/>
      <c r="AN26" s="83"/>
      <c r="AO26" s="83"/>
      <c r="AP26" s="83"/>
      <c r="AQ26" s="83"/>
      <c r="AR26" s="83"/>
      <c r="AS26" s="83"/>
      <c r="AT26" s="83"/>
      <c r="AU26" s="126"/>
      <c r="AV26" s="83"/>
      <c r="AW26" s="83"/>
      <c r="AX26" s="83"/>
      <c r="AY26" s="83"/>
      <c r="AZ26" s="83"/>
      <c r="BA26" s="83"/>
      <c r="BB26" s="83"/>
      <c r="BC26" s="83"/>
    </row>
    <row r="27" spans="1:56" s="96" customFormat="1" x14ac:dyDescent="0.2">
      <c r="A27" s="100" t="s">
        <v>6</v>
      </c>
      <c r="B27" s="77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</row>
    <row r="28" spans="1:56" s="96" customFormat="1" x14ac:dyDescent="0.2">
      <c r="A28" s="101" t="s">
        <v>7</v>
      </c>
      <c r="B28" s="79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</row>
    <row r="29" spans="1:56" s="96" customFormat="1" ht="16" thickBot="1" x14ac:dyDescent="0.25">
      <c r="A29" s="105" t="s">
        <v>17</v>
      </c>
      <c r="B29" s="88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</row>
    <row r="30" spans="1:56" s="96" customFormat="1" x14ac:dyDescent="0.2">
      <c r="A30" s="100" t="s">
        <v>18</v>
      </c>
      <c r="B30" s="89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</row>
    <row r="31" spans="1:56" s="96" customFormat="1" x14ac:dyDescent="0.2">
      <c r="A31" s="72" t="s">
        <v>19</v>
      </c>
      <c r="B31" s="81"/>
      <c r="C31" s="90">
        <v>198</v>
      </c>
      <c r="D31" s="90">
        <v>102</v>
      </c>
      <c r="E31" s="90">
        <v>12</v>
      </c>
      <c r="F31" s="90"/>
      <c r="G31" s="90">
        <v>156</v>
      </c>
      <c r="H31" s="90">
        <v>156</v>
      </c>
      <c r="I31" s="90">
        <v>114</v>
      </c>
      <c r="J31" s="90"/>
      <c r="K31" s="90">
        <v>192</v>
      </c>
      <c r="L31" s="90">
        <v>156</v>
      </c>
      <c r="M31" s="90">
        <v>119</v>
      </c>
      <c r="N31" s="90">
        <v>156</v>
      </c>
      <c r="O31" s="90">
        <v>2</v>
      </c>
      <c r="P31" s="90">
        <v>180</v>
      </c>
      <c r="Q31" s="90">
        <v>2</v>
      </c>
      <c r="R31" s="90">
        <v>60</v>
      </c>
      <c r="S31" s="90">
        <v>2</v>
      </c>
      <c r="T31" s="90"/>
      <c r="U31" s="90">
        <v>80</v>
      </c>
      <c r="V31" s="90">
        <v>78</v>
      </c>
      <c r="W31" s="90">
        <v>182</v>
      </c>
      <c r="X31" s="90">
        <v>114</v>
      </c>
      <c r="Y31" s="90">
        <v>2</v>
      </c>
      <c r="Z31" s="90">
        <v>70</v>
      </c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</row>
    <row r="32" spans="1:56" s="96" customFormat="1" x14ac:dyDescent="0.2">
      <c r="A32" s="72" t="s">
        <v>20</v>
      </c>
      <c r="B32" s="81"/>
      <c r="C32" s="90">
        <v>185</v>
      </c>
      <c r="D32" s="90">
        <v>144</v>
      </c>
      <c r="E32" s="90">
        <v>269</v>
      </c>
      <c r="F32" s="90">
        <v>280</v>
      </c>
      <c r="G32" s="90">
        <v>267</v>
      </c>
      <c r="H32" s="90">
        <v>237</v>
      </c>
      <c r="I32" s="90">
        <v>145</v>
      </c>
      <c r="J32" s="90">
        <v>195</v>
      </c>
      <c r="K32" s="90">
        <v>205</v>
      </c>
      <c r="L32" s="90">
        <v>147</v>
      </c>
      <c r="M32" s="90">
        <v>179</v>
      </c>
      <c r="N32" s="90">
        <v>193</v>
      </c>
      <c r="O32" s="90">
        <v>125</v>
      </c>
      <c r="P32" s="90">
        <v>157</v>
      </c>
      <c r="Q32" s="90">
        <v>95</v>
      </c>
      <c r="R32" s="90">
        <v>100</v>
      </c>
      <c r="S32" s="90">
        <v>196</v>
      </c>
      <c r="T32" s="90">
        <v>152</v>
      </c>
      <c r="U32" s="90">
        <v>50</v>
      </c>
      <c r="V32" s="90">
        <v>104</v>
      </c>
      <c r="W32" s="90">
        <v>102</v>
      </c>
      <c r="X32" s="90">
        <v>123</v>
      </c>
      <c r="Y32" s="90">
        <v>144</v>
      </c>
      <c r="Z32" s="90">
        <v>125</v>
      </c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</row>
    <row r="33" spans="1:55" s="96" customFormat="1" ht="16" thickBot="1" x14ac:dyDescent="0.25">
      <c r="A33" s="74" t="s">
        <v>21</v>
      </c>
      <c r="B33" s="84"/>
      <c r="C33" s="91">
        <v>53</v>
      </c>
      <c r="D33" s="91">
        <v>15</v>
      </c>
      <c r="E33" s="91">
        <v>98</v>
      </c>
      <c r="F33" s="91">
        <v>65</v>
      </c>
      <c r="G33" s="91">
        <v>85</v>
      </c>
      <c r="H33" s="91">
        <v>117</v>
      </c>
      <c r="I33" s="91">
        <v>49</v>
      </c>
      <c r="J33" s="91">
        <v>94</v>
      </c>
      <c r="K33" s="91">
        <v>59</v>
      </c>
      <c r="L33" s="91">
        <v>109</v>
      </c>
      <c r="M33" s="91">
        <v>152</v>
      </c>
      <c r="N33" s="91">
        <v>96</v>
      </c>
      <c r="O33" s="91">
        <v>95</v>
      </c>
      <c r="P33" s="91">
        <v>241</v>
      </c>
      <c r="Q33" s="91">
        <v>132</v>
      </c>
      <c r="R33" s="91">
        <v>78</v>
      </c>
      <c r="S33" s="91">
        <v>70</v>
      </c>
      <c r="T33" s="91">
        <v>57</v>
      </c>
      <c r="U33" s="91">
        <v>64</v>
      </c>
      <c r="V33" s="91">
        <v>28</v>
      </c>
      <c r="W33" s="91">
        <v>33</v>
      </c>
      <c r="X33" s="91">
        <v>41</v>
      </c>
      <c r="Y33" s="91">
        <v>40</v>
      </c>
      <c r="Z33" s="91">
        <v>55</v>
      </c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</row>
    <row r="34" spans="1:55" s="96" customFormat="1" ht="16" thickBot="1" x14ac:dyDescent="0.25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</row>
    <row r="35" spans="1:55" s="96" customFormat="1" x14ac:dyDescent="0.2">
      <c r="A35" s="68" t="s">
        <v>22</v>
      </c>
      <c r="B35" s="92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</row>
    <row r="36" spans="1:55" s="96" customFormat="1" ht="16" thickBot="1" x14ac:dyDescent="0.25">
      <c r="A36" s="73" t="s">
        <v>23</v>
      </c>
      <c r="B36" s="94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</row>
    <row r="37" spans="1:55" ht="16" thickBo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 x14ac:dyDescent="0.2">
      <c r="A38" s="19" t="s">
        <v>24</v>
      </c>
      <c r="B38" s="9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</row>
    <row r="39" spans="1:55" x14ac:dyDescent="0.2">
      <c r="A39" s="17" t="s">
        <v>25</v>
      </c>
      <c r="B39" s="1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</row>
    <row r="40" spans="1:55" x14ac:dyDescent="0.2">
      <c r="A40" s="17" t="s">
        <v>26</v>
      </c>
      <c r="B40" s="13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</row>
    <row r="41" spans="1:55" x14ac:dyDescent="0.2">
      <c r="A41" s="17" t="s">
        <v>27</v>
      </c>
      <c r="B41" s="13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</row>
    <row r="42" spans="1:55" ht="16" thickBot="1" x14ac:dyDescent="0.25">
      <c r="A42" s="15" t="s">
        <v>28</v>
      </c>
      <c r="B42" s="10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</row>
    <row r="43" spans="1:5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9154" spans="3:55" x14ac:dyDescent="0.2">
      <c r="C49154" s="1"/>
      <c r="D49154" s="1"/>
      <c r="E49154" s="1"/>
      <c r="F49154" s="1"/>
      <c r="G49154" s="1"/>
      <c r="H49154" s="1"/>
      <c r="I49154" s="1"/>
      <c r="J49154" s="1"/>
      <c r="K49154" s="1"/>
      <c r="L49154" s="1"/>
      <c r="M49154" s="1"/>
      <c r="N49154" s="1"/>
      <c r="O49154" s="1"/>
      <c r="P49154" s="1"/>
      <c r="Q49154" s="1"/>
      <c r="R49154" s="1"/>
      <c r="S49154" s="1"/>
      <c r="T49154" s="1"/>
      <c r="U49154" s="1"/>
      <c r="V49154" s="1"/>
      <c r="W49154" s="1"/>
      <c r="X49154" s="1"/>
      <c r="Y49154" s="1"/>
      <c r="Z49154" s="1"/>
      <c r="AA49154" s="1"/>
      <c r="AB49154" s="1"/>
      <c r="AC49154" s="1"/>
      <c r="AD49154" s="1"/>
      <c r="AE49154" s="1"/>
      <c r="AF49154" s="1"/>
      <c r="AG49154" s="1"/>
      <c r="AH49154" s="1"/>
      <c r="AI49154" s="1"/>
      <c r="AJ49154" s="1"/>
      <c r="AK49154" s="1"/>
      <c r="AL49154" s="1"/>
      <c r="AM49154" s="1"/>
      <c r="AN49154" s="1"/>
      <c r="AO49154" s="1"/>
      <c r="AP49154" s="1"/>
      <c r="AQ49154" s="1"/>
      <c r="AR49154" s="1"/>
      <c r="AS49154" s="1"/>
      <c r="AT49154" s="1"/>
      <c r="AU49154" s="1"/>
      <c r="AV49154" s="1"/>
      <c r="AW49154" s="1"/>
      <c r="AX49154" s="1"/>
      <c r="AY49154" s="1"/>
      <c r="AZ49154" s="1"/>
      <c r="BA49154" s="1"/>
      <c r="BB49154" s="1"/>
      <c r="BC4915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47C4-40B2-406D-BDFC-62C2D32A4D89}">
  <dimension ref="A1:BD49154"/>
  <sheetViews>
    <sheetView topLeftCell="A2" zoomScaleNormal="100" workbookViewId="0">
      <pane xSplit="1" ySplit="1" topLeftCell="B3" activePane="bottomRight" state="frozen"/>
      <selection activeCell="A2" sqref="A2"/>
      <selection pane="topRight" activeCell="B2" sqref="B2"/>
      <selection pane="bottomLeft" activeCell="A3" sqref="A3"/>
      <selection pane="bottomRight" activeCell="Z3" sqref="Z3"/>
    </sheetView>
  </sheetViews>
  <sheetFormatPr baseColWidth="10" defaultRowHeight="15" x14ac:dyDescent="0.2"/>
  <cols>
    <col min="1" max="1" width="29.5" bestFit="1" customWidth="1"/>
    <col min="36" max="36" width="10.33203125" customWidth="1"/>
  </cols>
  <sheetData>
    <row r="1" spans="1:56" ht="16" thickBot="1" x14ac:dyDescent="0.25">
      <c r="A1" s="2"/>
      <c r="B1" s="2"/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</row>
    <row r="2" spans="1:56" ht="16" thickBot="1" x14ac:dyDescent="0.25">
      <c r="A2" s="3" t="s">
        <v>0</v>
      </c>
      <c r="B2" s="8"/>
      <c r="C2" s="27" t="s">
        <v>29</v>
      </c>
      <c r="D2" s="27" t="s">
        <v>30</v>
      </c>
      <c r="E2" s="27" t="s">
        <v>31</v>
      </c>
      <c r="F2" s="27" t="s">
        <v>32</v>
      </c>
      <c r="G2" s="27" t="s">
        <v>33</v>
      </c>
      <c r="H2" s="27" t="s">
        <v>34</v>
      </c>
      <c r="I2" s="27" t="s">
        <v>35</v>
      </c>
      <c r="J2" s="27" t="s">
        <v>36</v>
      </c>
      <c r="K2" s="27" t="s">
        <v>37</v>
      </c>
      <c r="L2" s="27" t="s">
        <v>38</v>
      </c>
      <c r="M2" s="27" t="s">
        <v>39</v>
      </c>
      <c r="N2" s="27" t="s">
        <v>40</v>
      </c>
      <c r="O2" s="27" t="s">
        <v>41</v>
      </c>
      <c r="P2" s="27" t="s">
        <v>42</v>
      </c>
      <c r="Q2" s="27" t="s">
        <v>43</v>
      </c>
      <c r="R2" s="27" t="s">
        <v>44</v>
      </c>
      <c r="S2" s="27" t="s">
        <v>45</v>
      </c>
      <c r="T2" s="27" t="s">
        <v>46</v>
      </c>
      <c r="U2" s="27" t="s">
        <v>47</v>
      </c>
      <c r="V2" s="27" t="s">
        <v>48</v>
      </c>
      <c r="W2" s="27" t="s">
        <v>49</v>
      </c>
      <c r="X2" s="27" t="s">
        <v>50</v>
      </c>
      <c r="Y2" s="27" t="s">
        <v>51</v>
      </c>
      <c r="Z2" s="27" t="s">
        <v>52</v>
      </c>
      <c r="AA2" s="27" t="s">
        <v>53</v>
      </c>
      <c r="AB2" s="27" t="s">
        <v>54</v>
      </c>
      <c r="AC2" s="27" t="s">
        <v>55</v>
      </c>
      <c r="AD2" s="27" t="s">
        <v>56</v>
      </c>
      <c r="AE2" s="27" t="s">
        <v>57</v>
      </c>
      <c r="AF2" s="27" t="s">
        <v>58</v>
      </c>
      <c r="AG2" s="27" t="s">
        <v>59</v>
      </c>
      <c r="AH2" s="27" t="s">
        <v>60</v>
      </c>
      <c r="AI2" s="27" t="s">
        <v>61</v>
      </c>
      <c r="AJ2" s="27" t="s">
        <v>62</v>
      </c>
      <c r="AK2" s="27" t="s">
        <v>63</v>
      </c>
      <c r="AL2" s="27" t="s">
        <v>64</v>
      </c>
      <c r="AM2" s="27" t="s">
        <v>65</v>
      </c>
      <c r="AN2" s="27" t="s">
        <v>66</v>
      </c>
      <c r="AO2" s="27" t="s">
        <v>67</v>
      </c>
      <c r="AP2" s="27" t="s">
        <v>68</v>
      </c>
      <c r="AQ2" s="27" t="s">
        <v>69</v>
      </c>
      <c r="AR2" s="27" t="s">
        <v>70</v>
      </c>
      <c r="AS2" s="27" t="s">
        <v>71</v>
      </c>
      <c r="AT2" s="27" t="s">
        <v>72</v>
      </c>
      <c r="AU2" s="27" t="s">
        <v>73</v>
      </c>
      <c r="AV2" s="27" t="s">
        <v>74</v>
      </c>
      <c r="AW2" s="27" t="s">
        <v>75</v>
      </c>
      <c r="AX2" s="27" t="s">
        <v>76</v>
      </c>
      <c r="AY2" s="27" t="s">
        <v>77</v>
      </c>
      <c r="AZ2" s="27" t="s">
        <v>78</v>
      </c>
      <c r="BA2" s="27" t="s">
        <v>79</v>
      </c>
      <c r="BB2" s="27" t="s">
        <v>80</v>
      </c>
      <c r="BC2" s="27" t="s">
        <v>159</v>
      </c>
    </row>
    <row r="3" spans="1:56" s="96" customFormat="1" x14ac:dyDescent="0.2">
      <c r="A3" s="95" t="s">
        <v>1</v>
      </c>
      <c r="B3" s="68"/>
      <c r="C3" s="69">
        <v>7369</v>
      </c>
      <c r="D3" s="69">
        <v>4456</v>
      </c>
      <c r="E3" s="69">
        <v>3303</v>
      </c>
      <c r="F3" s="69">
        <v>1974</v>
      </c>
      <c r="G3" s="69">
        <v>758</v>
      </c>
      <c r="H3" s="69">
        <v>430</v>
      </c>
      <c r="I3" s="69">
        <v>324</v>
      </c>
      <c r="J3" s="69">
        <v>818</v>
      </c>
      <c r="K3" s="69">
        <v>934</v>
      </c>
      <c r="L3" s="69">
        <v>1336</v>
      </c>
      <c r="M3" s="69">
        <v>428</v>
      </c>
      <c r="N3" s="69">
        <v>733</v>
      </c>
      <c r="O3" s="69">
        <v>1187</v>
      </c>
      <c r="P3" s="69">
        <v>795</v>
      </c>
      <c r="Q3" s="69">
        <v>308</v>
      </c>
      <c r="R3" s="69">
        <v>309</v>
      </c>
      <c r="S3" s="69">
        <v>500</v>
      </c>
      <c r="T3" s="69">
        <v>220</v>
      </c>
      <c r="U3" s="69">
        <v>277</v>
      </c>
      <c r="V3" s="69">
        <v>540</v>
      </c>
      <c r="W3" s="69">
        <v>966</v>
      </c>
      <c r="X3" s="69"/>
      <c r="Y3" s="69">
        <v>1121</v>
      </c>
      <c r="Z3" s="69">
        <v>964</v>
      </c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</row>
    <row r="4" spans="1:56" s="96" customFormat="1" x14ac:dyDescent="0.2">
      <c r="A4" s="97" t="s">
        <v>2</v>
      </c>
      <c r="B4" s="70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</row>
    <row r="5" spans="1:56" s="96" customFormat="1" x14ac:dyDescent="0.2">
      <c r="A5" s="98" t="s">
        <v>3</v>
      </c>
      <c r="B5" s="70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</row>
    <row r="6" spans="1:56" s="96" customFormat="1" x14ac:dyDescent="0.2">
      <c r="A6" s="98" t="s">
        <v>4</v>
      </c>
      <c r="B6" s="70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</row>
    <row r="7" spans="1:56" s="96" customFormat="1" ht="16" thickBot="1" x14ac:dyDescent="0.25">
      <c r="A7" s="99" t="s">
        <v>5</v>
      </c>
      <c r="B7" s="73"/>
      <c r="C7" s="74">
        <v>0</v>
      </c>
      <c r="D7" s="74"/>
      <c r="E7" s="74">
        <v>0</v>
      </c>
      <c r="F7" s="74">
        <v>0</v>
      </c>
      <c r="G7" s="74">
        <v>0</v>
      </c>
      <c r="H7" s="74"/>
      <c r="I7" s="74"/>
      <c r="J7" s="74"/>
      <c r="K7" s="74">
        <v>0</v>
      </c>
      <c r="L7" s="74">
        <v>0</v>
      </c>
      <c r="M7" s="74">
        <v>0</v>
      </c>
      <c r="N7" s="74">
        <v>0</v>
      </c>
      <c r="O7" s="74"/>
      <c r="P7" s="74">
        <v>0</v>
      </c>
      <c r="Q7" s="74">
        <v>0</v>
      </c>
      <c r="R7" s="74">
        <v>0</v>
      </c>
      <c r="S7" s="74">
        <v>0</v>
      </c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</row>
    <row r="8" spans="1:56" s="96" customFormat="1" ht="16" thickBot="1" x14ac:dyDescent="0.25">
      <c r="A8" s="76"/>
      <c r="B8" s="75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</row>
    <row r="9" spans="1:56" s="96" customFormat="1" x14ac:dyDescent="0.2">
      <c r="A9" s="100" t="s">
        <v>6</v>
      </c>
      <c r="B9" s="77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</row>
    <row r="10" spans="1:56" s="96" customFormat="1" x14ac:dyDescent="0.2">
      <c r="A10" s="101" t="s">
        <v>7</v>
      </c>
      <c r="B10" s="79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</row>
    <row r="11" spans="1:56" s="96" customFormat="1" x14ac:dyDescent="0.2">
      <c r="A11" s="102" t="s">
        <v>166</v>
      </c>
      <c r="B11" s="81"/>
      <c r="C11" s="82">
        <v>1134</v>
      </c>
      <c r="D11" s="82">
        <v>1482</v>
      </c>
      <c r="E11" s="82">
        <v>713</v>
      </c>
      <c r="F11" s="82">
        <v>2077</v>
      </c>
      <c r="G11" s="82">
        <v>3279</v>
      </c>
      <c r="H11" s="82">
        <v>2308</v>
      </c>
      <c r="I11" s="82">
        <v>1645</v>
      </c>
      <c r="J11" s="82">
        <v>3519</v>
      </c>
      <c r="K11" s="82">
        <v>2777</v>
      </c>
      <c r="L11" s="82">
        <v>2295</v>
      </c>
      <c r="M11" s="82">
        <v>6549</v>
      </c>
      <c r="N11" s="82">
        <v>7034</v>
      </c>
      <c r="O11" s="82">
        <v>6305</v>
      </c>
      <c r="P11" s="82">
        <v>5546</v>
      </c>
      <c r="Q11" s="82">
        <v>5605</v>
      </c>
      <c r="R11" s="82">
        <v>4522</v>
      </c>
      <c r="S11" s="82">
        <v>6914</v>
      </c>
      <c r="T11" s="82">
        <v>7344</v>
      </c>
      <c r="U11" s="82">
        <v>6250</v>
      </c>
      <c r="V11" s="82">
        <v>7037</v>
      </c>
      <c r="W11" s="82">
        <v>5237</v>
      </c>
      <c r="X11" s="82">
        <v>5470</v>
      </c>
      <c r="Y11" s="82">
        <v>5798</v>
      </c>
      <c r="Z11" s="82">
        <v>3629</v>
      </c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110"/>
    </row>
    <row r="12" spans="1:56" s="96" customFormat="1" x14ac:dyDescent="0.2">
      <c r="A12" s="102" t="s">
        <v>167</v>
      </c>
      <c r="B12" s="81"/>
      <c r="C12" s="83">
        <v>919</v>
      </c>
      <c r="D12" s="83">
        <v>635</v>
      </c>
      <c r="E12" s="83">
        <v>587</v>
      </c>
      <c r="F12" s="83">
        <v>926</v>
      </c>
      <c r="G12" s="83">
        <v>1638</v>
      </c>
      <c r="H12" s="83">
        <v>1026</v>
      </c>
      <c r="I12" s="83">
        <v>1060</v>
      </c>
      <c r="J12" s="83">
        <v>1147</v>
      </c>
      <c r="K12" s="83">
        <v>1354</v>
      </c>
      <c r="L12" s="83">
        <v>1363</v>
      </c>
      <c r="M12" s="83">
        <v>778</v>
      </c>
      <c r="N12" s="83">
        <v>1909</v>
      </c>
      <c r="O12" s="83">
        <v>1444</v>
      </c>
      <c r="P12" s="83">
        <v>1847</v>
      </c>
      <c r="Q12" s="83">
        <v>1469</v>
      </c>
      <c r="R12" s="83">
        <v>1091</v>
      </c>
      <c r="S12" s="83">
        <v>3016</v>
      </c>
      <c r="T12" s="83">
        <v>2716</v>
      </c>
      <c r="U12" s="83">
        <v>2700</v>
      </c>
      <c r="V12" s="83">
        <v>2100</v>
      </c>
      <c r="W12" s="83">
        <v>2060</v>
      </c>
      <c r="X12" s="83">
        <v>3097</v>
      </c>
      <c r="Y12" s="83">
        <v>3097</v>
      </c>
      <c r="Z12" s="83">
        <v>2029</v>
      </c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110"/>
    </row>
    <row r="13" spans="1:56" s="96" customFormat="1" x14ac:dyDescent="0.2">
      <c r="A13" s="102" t="s">
        <v>10</v>
      </c>
      <c r="B13" s="81"/>
      <c r="C13" s="82">
        <v>701</v>
      </c>
      <c r="D13" s="82">
        <v>398</v>
      </c>
      <c r="E13" s="82">
        <v>631</v>
      </c>
      <c r="F13" s="82">
        <v>653</v>
      </c>
      <c r="G13" s="82">
        <v>765</v>
      </c>
      <c r="H13" s="82">
        <v>1129</v>
      </c>
      <c r="I13" s="82">
        <v>814</v>
      </c>
      <c r="J13" s="82">
        <v>832</v>
      </c>
      <c r="K13" s="82">
        <v>1304</v>
      </c>
      <c r="L13" s="82">
        <v>717</v>
      </c>
      <c r="M13" s="82">
        <v>1543</v>
      </c>
      <c r="N13" s="82">
        <v>1184</v>
      </c>
      <c r="O13" s="82">
        <v>2153</v>
      </c>
      <c r="P13" s="82">
        <v>1601</v>
      </c>
      <c r="Q13" s="82">
        <v>1985</v>
      </c>
      <c r="R13" s="82">
        <v>1803</v>
      </c>
      <c r="S13" s="82">
        <v>2296</v>
      </c>
      <c r="T13" s="82">
        <v>2281</v>
      </c>
      <c r="U13" s="82">
        <v>2056</v>
      </c>
      <c r="V13" s="82">
        <v>2027</v>
      </c>
      <c r="W13" s="82">
        <v>2001</v>
      </c>
      <c r="X13" s="82">
        <v>1920</v>
      </c>
      <c r="Y13" s="82">
        <v>1424</v>
      </c>
      <c r="Z13" s="82">
        <v>2442</v>
      </c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110"/>
    </row>
    <row r="14" spans="1:56" s="96" customFormat="1" ht="16" thickBot="1" x14ac:dyDescent="0.25">
      <c r="A14" s="103" t="s">
        <v>11</v>
      </c>
      <c r="B14" s="84"/>
      <c r="C14" s="85">
        <v>0</v>
      </c>
      <c r="D14" s="85">
        <v>169</v>
      </c>
      <c r="E14" s="85">
        <v>173</v>
      </c>
      <c r="F14" s="85">
        <v>0</v>
      </c>
      <c r="G14" s="85">
        <v>280</v>
      </c>
      <c r="H14" s="85">
        <v>322</v>
      </c>
      <c r="I14" s="85">
        <v>415</v>
      </c>
      <c r="J14" s="85">
        <v>230</v>
      </c>
      <c r="K14" s="85">
        <v>77</v>
      </c>
      <c r="L14" s="85">
        <v>571</v>
      </c>
      <c r="M14" s="85">
        <v>818</v>
      </c>
      <c r="N14" s="85">
        <v>527</v>
      </c>
      <c r="O14" s="85">
        <v>1179</v>
      </c>
      <c r="P14" s="85">
        <v>735</v>
      </c>
      <c r="Q14" s="85">
        <v>638</v>
      </c>
      <c r="R14" s="85">
        <v>1734</v>
      </c>
      <c r="S14" s="85">
        <v>1590</v>
      </c>
      <c r="T14" s="85">
        <v>1206</v>
      </c>
      <c r="U14" s="85">
        <v>1062</v>
      </c>
      <c r="V14" s="85">
        <v>918</v>
      </c>
      <c r="W14" s="85">
        <v>913</v>
      </c>
      <c r="X14" s="85">
        <v>1048</v>
      </c>
      <c r="Y14" s="85">
        <v>868</v>
      </c>
      <c r="Z14" s="85">
        <v>916</v>
      </c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110"/>
    </row>
    <row r="15" spans="1:56" s="96" customFormat="1" x14ac:dyDescent="0.2">
      <c r="A15" s="104" t="s">
        <v>6</v>
      </c>
      <c r="B15" s="86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110"/>
    </row>
    <row r="16" spans="1:56" s="96" customFormat="1" x14ac:dyDescent="0.2">
      <c r="A16" s="101" t="s">
        <v>7</v>
      </c>
      <c r="B16" s="79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110"/>
    </row>
    <row r="17" spans="1:56" s="96" customFormat="1" x14ac:dyDescent="0.2">
      <c r="A17" s="102" t="s">
        <v>12</v>
      </c>
      <c r="B17" s="81"/>
      <c r="C17" s="82">
        <v>178</v>
      </c>
      <c r="D17" s="82">
        <v>153</v>
      </c>
      <c r="E17" s="82">
        <v>401</v>
      </c>
      <c r="F17" s="82">
        <v>523</v>
      </c>
      <c r="G17" s="82">
        <v>88</v>
      </c>
      <c r="H17" s="82">
        <v>438</v>
      </c>
      <c r="I17" s="82">
        <v>283</v>
      </c>
      <c r="J17" s="82">
        <v>196</v>
      </c>
      <c r="K17" s="82">
        <v>374</v>
      </c>
      <c r="L17" s="82">
        <v>576</v>
      </c>
      <c r="M17" s="82">
        <v>953</v>
      </c>
      <c r="N17" s="82">
        <v>924</v>
      </c>
      <c r="O17" s="82">
        <v>1406</v>
      </c>
      <c r="P17" s="82">
        <v>1532</v>
      </c>
      <c r="Q17" s="82">
        <v>2035</v>
      </c>
      <c r="R17" s="82">
        <v>2512</v>
      </c>
      <c r="S17" s="82">
        <v>2118</v>
      </c>
      <c r="T17" s="82">
        <v>1863</v>
      </c>
      <c r="U17" s="82">
        <v>1832</v>
      </c>
      <c r="V17" s="82">
        <v>1549</v>
      </c>
      <c r="W17" s="82">
        <v>1151</v>
      </c>
      <c r="X17" s="82">
        <v>1164</v>
      </c>
      <c r="Y17" s="82">
        <v>1298</v>
      </c>
      <c r="Z17" s="82">
        <v>1404</v>
      </c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110"/>
    </row>
    <row r="18" spans="1:56" s="96" customFormat="1" x14ac:dyDescent="0.2">
      <c r="A18" s="102" t="s">
        <v>13</v>
      </c>
      <c r="B18" s="81"/>
      <c r="C18" s="82">
        <v>162</v>
      </c>
      <c r="D18" s="82">
        <v>92</v>
      </c>
      <c r="E18" s="82">
        <v>19</v>
      </c>
      <c r="F18" s="82">
        <v>39</v>
      </c>
      <c r="G18" s="82">
        <v>39</v>
      </c>
      <c r="H18" s="82">
        <v>39</v>
      </c>
      <c r="I18" s="82">
        <v>39</v>
      </c>
      <c r="J18" s="82">
        <v>3</v>
      </c>
      <c r="K18" s="82">
        <v>3</v>
      </c>
      <c r="L18" s="82">
        <v>3</v>
      </c>
      <c r="M18" s="82">
        <v>3</v>
      </c>
      <c r="N18" s="82">
        <v>3</v>
      </c>
      <c r="O18" s="82">
        <v>3</v>
      </c>
      <c r="P18" s="82">
        <v>3</v>
      </c>
      <c r="Q18" s="82">
        <v>3</v>
      </c>
      <c r="R18" s="82">
        <v>3</v>
      </c>
      <c r="S18" s="82">
        <v>3</v>
      </c>
      <c r="T18" s="82">
        <v>16</v>
      </c>
      <c r="U18" s="82">
        <v>16</v>
      </c>
      <c r="V18" s="82">
        <v>16</v>
      </c>
      <c r="W18" s="82">
        <v>16</v>
      </c>
      <c r="X18" s="82">
        <v>118</v>
      </c>
      <c r="Y18" s="128">
        <v>182</v>
      </c>
      <c r="Z18" s="82">
        <v>242</v>
      </c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110"/>
    </row>
    <row r="19" spans="1:56" s="130" customFormat="1" x14ac:dyDescent="0.2">
      <c r="A19" s="129" t="s">
        <v>133</v>
      </c>
      <c r="B19" s="81"/>
      <c r="C19" s="128">
        <v>213</v>
      </c>
      <c r="D19" s="128">
        <v>21</v>
      </c>
      <c r="E19" s="128">
        <v>21</v>
      </c>
      <c r="F19" s="128">
        <v>169</v>
      </c>
      <c r="G19" s="128"/>
      <c r="H19" s="128"/>
      <c r="I19" s="128">
        <v>189</v>
      </c>
      <c r="J19" s="128">
        <v>2</v>
      </c>
      <c r="K19" s="128"/>
      <c r="L19" s="128">
        <v>397</v>
      </c>
      <c r="M19" s="128">
        <v>4</v>
      </c>
      <c r="N19" s="128">
        <v>502</v>
      </c>
      <c r="O19" s="128">
        <v>844</v>
      </c>
      <c r="P19" s="128">
        <v>440</v>
      </c>
      <c r="Q19" s="128">
        <v>440</v>
      </c>
      <c r="R19" s="128">
        <v>1006</v>
      </c>
      <c r="S19" s="128">
        <v>1006</v>
      </c>
      <c r="T19" s="128">
        <v>958</v>
      </c>
      <c r="U19" s="128">
        <v>814</v>
      </c>
      <c r="V19" s="128">
        <v>499</v>
      </c>
      <c r="W19" s="128">
        <v>127</v>
      </c>
      <c r="X19" s="128">
        <v>331</v>
      </c>
      <c r="Y19" s="130">
        <v>331</v>
      </c>
      <c r="Z19" s="128">
        <v>235</v>
      </c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31"/>
    </row>
    <row r="20" spans="1:56" s="96" customFormat="1" ht="16" thickBot="1" x14ac:dyDescent="0.25">
      <c r="A20" s="103" t="s">
        <v>135</v>
      </c>
      <c r="B20" s="127"/>
      <c r="C20" s="128">
        <v>182</v>
      </c>
      <c r="D20" s="128">
        <v>211</v>
      </c>
      <c r="E20" s="128">
        <v>246</v>
      </c>
      <c r="F20" s="128">
        <v>0</v>
      </c>
      <c r="G20" s="128">
        <v>138</v>
      </c>
      <c r="H20" s="128"/>
      <c r="I20" s="128">
        <v>357</v>
      </c>
      <c r="J20" s="128">
        <v>210</v>
      </c>
      <c r="K20" s="128"/>
      <c r="L20" s="128">
        <v>389</v>
      </c>
      <c r="M20" s="128">
        <v>120</v>
      </c>
      <c r="N20" s="128">
        <v>624</v>
      </c>
      <c r="O20" s="128">
        <v>592</v>
      </c>
      <c r="P20" s="128">
        <v>312</v>
      </c>
      <c r="Q20" s="128">
        <v>378</v>
      </c>
      <c r="R20" s="128">
        <v>210</v>
      </c>
      <c r="S20" s="128">
        <v>266</v>
      </c>
      <c r="T20" s="128">
        <v>476</v>
      </c>
      <c r="U20" s="128">
        <v>308</v>
      </c>
      <c r="V20" s="128">
        <v>142</v>
      </c>
      <c r="W20" s="128">
        <v>262</v>
      </c>
      <c r="X20" s="128">
        <v>206</v>
      </c>
      <c r="Y20" s="128">
        <v>316</v>
      </c>
      <c r="Z20" s="128">
        <v>124</v>
      </c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10"/>
    </row>
    <row r="21" spans="1:56" s="96" customFormat="1" x14ac:dyDescent="0.2">
      <c r="A21" s="100" t="s">
        <v>6</v>
      </c>
      <c r="B21" s="77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113"/>
      <c r="BC21" s="113"/>
      <c r="BD21" s="110"/>
    </row>
    <row r="22" spans="1:56" s="96" customFormat="1" x14ac:dyDescent="0.2">
      <c r="A22" s="101" t="s">
        <v>7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110"/>
    </row>
    <row r="23" spans="1:56" s="96" customFormat="1" x14ac:dyDescent="0.2">
      <c r="A23" s="102" t="s">
        <v>168</v>
      </c>
      <c r="B23" s="81"/>
      <c r="C23" s="82">
        <v>181</v>
      </c>
      <c r="D23" s="82">
        <v>34</v>
      </c>
      <c r="E23" s="82">
        <v>95</v>
      </c>
      <c r="F23" s="82">
        <v>170</v>
      </c>
      <c r="G23" s="82">
        <v>170</v>
      </c>
      <c r="H23" s="82">
        <v>222</v>
      </c>
      <c r="I23" s="82">
        <v>10</v>
      </c>
      <c r="J23" s="82">
        <v>218</v>
      </c>
      <c r="K23" s="82">
        <v>1</v>
      </c>
      <c r="L23" s="82">
        <v>49</v>
      </c>
      <c r="M23" s="82">
        <v>162</v>
      </c>
      <c r="N23" s="82">
        <v>56</v>
      </c>
      <c r="O23" s="82">
        <v>264</v>
      </c>
      <c r="P23" s="82">
        <v>283</v>
      </c>
      <c r="Q23" s="82">
        <v>434</v>
      </c>
      <c r="R23" s="82">
        <v>612</v>
      </c>
      <c r="S23" s="82">
        <v>523</v>
      </c>
      <c r="T23" s="82">
        <v>594</v>
      </c>
      <c r="U23" s="82">
        <v>773</v>
      </c>
      <c r="V23" s="82">
        <v>697</v>
      </c>
      <c r="W23" s="82">
        <v>569</v>
      </c>
      <c r="X23" s="82">
        <v>649</v>
      </c>
      <c r="Y23" s="82">
        <v>649</v>
      </c>
      <c r="Z23" s="82">
        <v>561</v>
      </c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110"/>
    </row>
    <row r="24" spans="1:56" s="96" customFormat="1" ht="16" thickBot="1" x14ac:dyDescent="0.25">
      <c r="A24" s="106" t="s">
        <v>169</v>
      </c>
      <c r="B24" s="84"/>
      <c r="C24" s="83">
        <v>238</v>
      </c>
      <c r="D24" s="83">
        <v>60</v>
      </c>
      <c r="E24" s="83">
        <v>210</v>
      </c>
      <c r="F24" s="83">
        <v>229</v>
      </c>
      <c r="G24" s="83">
        <v>325</v>
      </c>
      <c r="H24" s="83">
        <v>391</v>
      </c>
      <c r="I24" s="83">
        <v>278</v>
      </c>
      <c r="J24" s="83">
        <v>76</v>
      </c>
      <c r="K24" s="83">
        <v>185</v>
      </c>
      <c r="L24" s="83">
        <v>396</v>
      </c>
      <c r="M24" s="83">
        <v>80</v>
      </c>
      <c r="N24" s="83">
        <v>534</v>
      </c>
      <c r="O24" s="83">
        <v>346</v>
      </c>
      <c r="P24" s="83">
        <v>404</v>
      </c>
      <c r="Q24" s="83">
        <v>660</v>
      </c>
      <c r="R24" s="83">
        <v>809</v>
      </c>
      <c r="S24" s="83">
        <v>786</v>
      </c>
      <c r="T24" s="83">
        <v>1148</v>
      </c>
      <c r="U24" s="83">
        <v>1217</v>
      </c>
      <c r="V24" s="83">
        <v>873</v>
      </c>
      <c r="W24" s="83">
        <v>1033</v>
      </c>
      <c r="X24" s="83">
        <v>858</v>
      </c>
      <c r="Y24" s="83">
        <v>1276</v>
      </c>
      <c r="Z24" s="83">
        <v>946</v>
      </c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110"/>
    </row>
    <row r="25" spans="1:56" s="96" customFormat="1" x14ac:dyDescent="0.2">
      <c r="A25" s="104"/>
      <c r="B25" s="77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110"/>
    </row>
    <row r="26" spans="1:56" s="96" customFormat="1" ht="16" thickBot="1" x14ac:dyDescent="0.25">
      <c r="A26" s="105" t="s">
        <v>91</v>
      </c>
      <c r="B26" s="84"/>
      <c r="C26" s="83">
        <v>5284</v>
      </c>
      <c r="D26" s="83">
        <v>7066</v>
      </c>
      <c r="E26" s="83">
        <v>8151</v>
      </c>
      <c r="F26" s="83">
        <v>8514</v>
      </c>
      <c r="G26" s="83">
        <v>8454</v>
      </c>
      <c r="H26" s="83">
        <v>8355</v>
      </c>
      <c r="I26" s="83">
        <v>7623</v>
      </c>
      <c r="J26" s="83">
        <v>6150</v>
      </c>
      <c r="K26" s="83">
        <v>5372</v>
      </c>
      <c r="L26" s="83">
        <v>5400</v>
      </c>
      <c r="M26" s="83">
        <v>5268</v>
      </c>
      <c r="N26" s="83">
        <v>5019</v>
      </c>
      <c r="O26" s="83">
        <v>4730</v>
      </c>
      <c r="P26" s="83">
        <v>4843</v>
      </c>
      <c r="Q26" s="83">
        <v>4706</v>
      </c>
      <c r="R26" s="83">
        <v>4301</v>
      </c>
      <c r="S26" s="83">
        <v>3492</v>
      </c>
      <c r="T26" s="83">
        <v>3021</v>
      </c>
      <c r="U26" s="83">
        <v>2632</v>
      </c>
      <c r="V26" s="83">
        <v>2272</v>
      </c>
      <c r="W26" s="83">
        <v>1790</v>
      </c>
      <c r="X26" s="83">
        <v>1465</v>
      </c>
      <c r="Y26" s="83">
        <v>1382</v>
      </c>
      <c r="Z26" s="83">
        <v>1541</v>
      </c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110"/>
    </row>
    <row r="27" spans="1:56" s="96" customFormat="1" x14ac:dyDescent="0.2">
      <c r="A27" s="100" t="s">
        <v>6</v>
      </c>
      <c r="B27" s="77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110"/>
    </row>
    <row r="28" spans="1:56" s="96" customFormat="1" x14ac:dyDescent="0.2">
      <c r="A28" s="101" t="s">
        <v>7</v>
      </c>
      <c r="B28" s="79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110"/>
    </row>
    <row r="29" spans="1:56" s="96" customFormat="1" ht="16" thickBot="1" x14ac:dyDescent="0.25">
      <c r="A29" s="105" t="s">
        <v>17</v>
      </c>
      <c r="B29" s="88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110"/>
    </row>
    <row r="30" spans="1:56" s="96" customFormat="1" x14ac:dyDescent="0.2">
      <c r="A30" s="100" t="s">
        <v>18</v>
      </c>
      <c r="B30" s="89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110"/>
    </row>
    <row r="31" spans="1:56" s="96" customFormat="1" x14ac:dyDescent="0.2">
      <c r="A31" s="72" t="s">
        <v>19</v>
      </c>
      <c r="B31" s="81"/>
      <c r="C31" s="90">
        <v>419</v>
      </c>
      <c r="D31" s="90">
        <v>317</v>
      </c>
      <c r="E31" s="90">
        <v>508</v>
      </c>
      <c r="F31" s="90">
        <v>710</v>
      </c>
      <c r="G31" s="90">
        <v>698</v>
      </c>
      <c r="H31" s="90">
        <v>764</v>
      </c>
      <c r="I31" s="90">
        <v>1077</v>
      </c>
      <c r="J31" s="90">
        <v>1077</v>
      </c>
      <c r="K31" s="90">
        <v>885</v>
      </c>
      <c r="L31" s="90">
        <v>729</v>
      </c>
      <c r="M31" s="90">
        <v>1184</v>
      </c>
      <c r="N31" s="90">
        <v>1028</v>
      </c>
      <c r="O31" s="90">
        <v>1349</v>
      </c>
      <c r="P31" s="90">
        <v>1169</v>
      </c>
      <c r="Q31" s="90">
        <v>1573</v>
      </c>
      <c r="R31" s="90">
        <v>1513</v>
      </c>
      <c r="S31" s="90">
        <v>1714</v>
      </c>
      <c r="T31" s="90">
        <v>1714</v>
      </c>
      <c r="U31" s="90">
        <v>1634</v>
      </c>
      <c r="V31" s="90">
        <v>1556</v>
      </c>
      <c r="W31" s="90">
        <v>1374</v>
      </c>
      <c r="X31" s="90">
        <v>1579</v>
      </c>
      <c r="Y31" s="90">
        <v>1577</v>
      </c>
      <c r="Z31" s="90">
        <v>1892</v>
      </c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110"/>
    </row>
    <row r="32" spans="1:56" s="96" customFormat="1" x14ac:dyDescent="0.2">
      <c r="A32" s="72" t="s">
        <v>20</v>
      </c>
      <c r="B32" s="81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110"/>
    </row>
    <row r="33" spans="1:56" s="96" customFormat="1" ht="16" thickBot="1" x14ac:dyDescent="0.25">
      <c r="A33" s="74" t="s">
        <v>21</v>
      </c>
      <c r="B33" s="84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110"/>
    </row>
    <row r="34" spans="1:56" s="96" customFormat="1" ht="16" thickBot="1" x14ac:dyDescent="0.25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</row>
    <row r="35" spans="1:56" s="96" customFormat="1" x14ac:dyDescent="0.2">
      <c r="A35" s="68" t="s">
        <v>22</v>
      </c>
      <c r="B35" s="92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</row>
    <row r="36" spans="1:56" s="96" customFormat="1" ht="16" thickBot="1" x14ac:dyDescent="0.25">
      <c r="A36" s="73" t="s">
        <v>23</v>
      </c>
      <c r="B36" s="94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</row>
    <row r="37" spans="1:56" ht="16" thickBo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6" x14ac:dyDescent="0.2">
      <c r="A38" s="19" t="s">
        <v>24</v>
      </c>
      <c r="B38" s="9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</row>
    <row r="39" spans="1:56" x14ac:dyDescent="0.2">
      <c r="A39" s="17" t="s">
        <v>25</v>
      </c>
      <c r="B39" s="1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</row>
    <row r="40" spans="1:56" x14ac:dyDescent="0.2">
      <c r="A40" s="17" t="s">
        <v>26</v>
      </c>
      <c r="B40" s="13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</row>
    <row r="41" spans="1:56" x14ac:dyDescent="0.2">
      <c r="A41" s="17" t="s">
        <v>27</v>
      </c>
      <c r="B41" s="13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</row>
    <row r="42" spans="1:56" ht="16" thickBot="1" x14ac:dyDescent="0.25">
      <c r="A42" s="15" t="s">
        <v>28</v>
      </c>
      <c r="B42" s="10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</row>
    <row r="43" spans="1:5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9154" spans="3:55" x14ac:dyDescent="0.2">
      <c r="C49154" s="1"/>
      <c r="D49154" s="1"/>
      <c r="E49154" s="1"/>
      <c r="F49154" s="1"/>
      <c r="G49154" s="1"/>
      <c r="H49154" s="1"/>
      <c r="I49154" s="1"/>
      <c r="J49154" s="1"/>
      <c r="K49154" s="1"/>
      <c r="L49154" s="1"/>
      <c r="M49154" s="1"/>
      <c r="N49154" s="1"/>
      <c r="O49154" s="1"/>
      <c r="P49154" s="1"/>
      <c r="Q49154" s="1"/>
      <c r="R49154" s="1"/>
      <c r="S49154" s="1"/>
      <c r="T49154" s="1"/>
      <c r="U49154" s="1"/>
      <c r="V49154" s="1"/>
      <c r="W49154" s="1"/>
      <c r="X49154" s="1"/>
      <c r="Y49154" s="1"/>
      <c r="Z49154" s="1"/>
      <c r="AA49154" s="1"/>
      <c r="AB49154" s="1"/>
      <c r="AC49154" s="1"/>
      <c r="AD49154" s="1"/>
      <c r="AE49154" s="1"/>
      <c r="AF49154" s="1"/>
      <c r="AG49154" s="1"/>
      <c r="AH49154" s="1"/>
      <c r="AI49154" s="1"/>
      <c r="AJ49154" s="1"/>
      <c r="AK49154" s="1"/>
      <c r="AL49154" s="1"/>
      <c r="AM49154" s="1"/>
      <c r="AN49154" s="1"/>
      <c r="AO49154" s="1"/>
      <c r="AP49154" s="1"/>
      <c r="AQ49154" s="1"/>
      <c r="AR49154" s="1"/>
      <c r="AS49154" s="1"/>
      <c r="AT49154" s="1"/>
      <c r="AU49154" s="1"/>
      <c r="AV49154" s="1"/>
      <c r="AW49154" s="1"/>
      <c r="AX49154" s="1"/>
      <c r="AY49154" s="1"/>
      <c r="AZ49154" s="1"/>
      <c r="BA49154" s="1"/>
      <c r="BB49154" s="1"/>
      <c r="BC49154" s="1"/>
    </row>
  </sheetData>
  <sheetProtection algorithmName="SHA-512" hashValue="xXHWIlkqzflWq/FY8vUcID6ydNBhi2MSNemx+CNP3a7UjWHrzPPRnmXemkd31kBnIONThGsTZo4knEYCCMyUug==" saltValue="SjRj7MLY0Iv//z5apI0CzA==" spinCount="100000" sheet="1" objects="1" scenarios="1"/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3F6D-F2DF-4D29-B960-C9A79670E98F}">
  <dimension ref="A2:M1252"/>
  <sheetViews>
    <sheetView showGridLines="0" topLeftCell="A2" zoomScale="106" zoomScaleNormal="106" workbookViewId="0">
      <selection activeCell="B4" sqref="B4"/>
    </sheetView>
  </sheetViews>
  <sheetFormatPr baseColWidth="10" defaultColWidth="11.5" defaultRowHeight="15" x14ac:dyDescent="0.2"/>
  <cols>
    <col min="1" max="1" width="37.5" style="34" customWidth="1"/>
    <col min="2" max="2" width="10.5" style="34" customWidth="1"/>
    <col min="3" max="3" width="12.5" style="34" customWidth="1"/>
    <col min="4" max="8" width="10.5" style="34" customWidth="1"/>
    <col min="9" max="9" width="9.5" style="34" bestFit="1" customWidth="1"/>
    <col min="10" max="10" width="11.33203125" style="34" customWidth="1"/>
    <col min="11" max="11" width="13" style="34" customWidth="1"/>
    <col min="12" max="12" width="8.5" style="34" customWidth="1"/>
    <col min="13" max="16384" width="11.5" style="34"/>
  </cols>
  <sheetData>
    <row r="2" spans="1:12" ht="16" thickBot="1" x14ac:dyDescent="0.25"/>
    <row r="3" spans="1:12" ht="20" thickBot="1" x14ac:dyDescent="0.3">
      <c r="A3" s="35" t="s">
        <v>93</v>
      </c>
      <c r="B3" s="36">
        <v>24</v>
      </c>
    </row>
    <row r="4" spans="1:12" ht="16" thickBot="1" x14ac:dyDescent="0.25">
      <c r="A4" s="219">
        <v>44562</v>
      </c>
    </row>
    <row r="5" spans="1:12" s="41" customFormat="1" ht="27.75" customHeight="1" thickBot="1" x14ac:dyDescent="0.3">
      <c r="A5" s="52" t="s">
        <v>0</v>
      </c>
      <c r="B5" s="187">
        <f>VLOOKUP(B3,Semana26,2,FALSE)</f>
        <v>46181</v>
      </c>
      <c r="C5" s="187">
        <f>+B5+1</f>
        <v>46182</v>
      </c>
      <c r="D5" s="187">
        <f>+C5+1</f>
        <v>46183</v>
      </c>
      <c r="E5" s="187">
        <f>+D5+1</f>
        <v>46184</v>
      </c>
      <c r="F5" s="187">
        <f>+E5+1</f>
        <v>46185</v>
      </c>
      <c r="G5" s="187">
        <f>+F5+1</f>
        <v>46186</v>
      </c>
      <c r="H5" s="187">
        <f>VLOOKUP(B3,Semana26,3,FALSE)</f>
        <v>46187</v>
      </c>
      <c r="I5" s="188" t="s">
        <v>95</v>
      </c>
      <c r="J5" s="188" t="s">
        <v>96</v>
      </c>
      <c r="K5" s="188" t="s">
        <v>97</v>
      </c>
      <c r="L5" s="188" t="s">
        <v>98</v>
      </c>
    </row>
    <row r="6" spans="1:12" ht="13.5" customHeight="1" x14ac:dyDescent="0.2">
      <c r="A6" s="185" t="s">
        <v>86</v>
      </c>
      <c r="B6" s="186">
        <f t="shared" ref="B6:H6" si="0">HLOOKUP(B5,Datos2,4,FALSE)</f>
        <v>1000</v>
      </c>
      <c r="C6" s="186">
        <f t="shared" si="0"/>
        <v>445</v>
      </c>
      <c r="D6" s="186">
        <f t="shared" si="0"/>
        <v>1159</v>
      </c>
      <c r="E6" s="186">
        <f t="shared" si="0"/>
        <v>846</v>
      </c>
      <c r="F6" s="186">
        <f t="shared" si="0"/>
        <v>0</v>
      </c>
      <c r="G6" s="186">
        <f t="shared" si="0"/>
        <v>0</v>
      </c>
      <c r="H6" s="186">
        <f t="shared" si="0"/>
        <v>0</v>
      </c>
      <c r="I6" s="175">
        <f>SUM(B6:H6)</f>
        <v>3450</v>
      </c>
      <c r="J6" s="45">
        <f>3818+SUMIFS(Produccion_2026!$B$4:$NE$4,Fechas2,"&gt;="&amp;Semanal2!A4,Fechas2,"&lt;="&amp;Semanal2!H5)-SUMIFS(Produccion_2026!$B$9:$NE$9,Fechas2,"&gt;="&amp;Semanal2!A4,Fechas2,"&lt;="&amp;Semanal2!H5)-SUMIFS(Produccion_2026!$B$10:$NE$10,Fechas2,"&gt;="&amp;Semanal2!A4,Fechas2,"&lt;="&amp;Semanal2!H5)-SUMIFS(Produccion_2026!$B$11:$NE$11,Fechas2,"&gt;="&amp;Semanal2!A4,Fechas2,"&lt;="&amp;Semanal2!H5)</f>
        <v>964</v>
      </c>
      <c r="K6" s="45">
        <f>HLOOKUP($B$3,Stock_Real2!$B$1:$BC$42,3,FALSE)</f>
        <v>964</v>
      </c>
      <c r="L6" s="46">
        <f>+K6-J6</f>
        <v>0</v>
      </c>
    </row>
    <row r="7" spans="1:12" ht="13.5" customHeight="1" thickBot="1" x14ac:dyDescent="0.25">
      <c r="A7" s="47" t="s">
        <v>163</v>
      </c>
      <c r="B7" s="119" t="str">
        <f t="shared" ref="B7:H7" si="1">HLOOKUP(B5,Datos3Compras,4,FALSE)</f>
        <v>546-J.U</v>
      </c>
      <c r="C7" s="119">
        <f t="shared" si="1"/>
        <v>0</v>
      </c>
      <c r="D7" s="119">
        <f t="shared" si="1"/>
        <v>0</v>
      </c>
      <c r="E7" s="119">
        <f t="shared" si="1"/>
        <v>0</v>
      </c>
      <c r="F7" s="119">
        <f t="shared" si="1"/>
        <v>0</v>
      </c>
      <c r="G7" s="119">
        <f t="shared" si="1"/>
        <v>0</v>
      </c>
      <c r="H7" s="119">
        <f t="shared" si="1"/>
        <v>0</v>
      </c>
      <c r="I7" s="175">
        <f>SUM(B7:H7)</f>
        <v>0</v>
      </c>
      <c r="J7" s="121">
        <v>0</v>
      </c>
      <c r="K7" s="121">
        <v>0</v>
      </c>
      <c r="L7" s="46">
        <v>0</v>
      </c>
    </row>
    <row r="8" spans="1:12" ht="18.75" customHeight="1" thickBot="1" x14ac:dyDescent="0.3">
      <c r="A8" s="259" t="s">
        <v>87</v>
      </c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1"/>
    </row>
    <row r="9" spans="1:12" x14ac:dyDescent="0.2">
      <c r="A9" s="158" t="s">
        <v>166</v>
      </c>
      <c r="B9" s="159">
        <f>HLOOKUP(B5,Datos2,10,FALSE)</f>
        <v>0</v>
      </c>
      <c r="C9" s="159">
        <f t="shared" ref="C9:H9" si="2">HLOOKUP(C5,Datos2,10,FALSE)</f>
        <v>0</v>
      </c>
      <c r="D9" s="159">
        <f t="shared" si="2"/>
        <v>0</v>
      </c>
      <c r="E9" s="159">
        <f t="shared" si="2"/>
        <v>0</v>
      </c>
      <c r="F9" s="159">
        <f t="shared" si="2"/>
        <v>0</v>
      </c>
      <c r="G9" s="159">
        <f t="shared" si="2"/>
        <v>0</v>
      </c>
      <c r="H9" s="159">
        <f t="shared" si="2"/>
        <v>0</v>
      </c>
      <c r="I9" s="174">
        <f>SUM(B9:H9)</f>
        <v>0</v>
      </c>
      <c r="J9" s="178">
        <f>SUMIFS(Produccion_2026!B15:NE15,Fechas2,"&gt;="&amp;$A$4,Fechas2,"&lt;="&amp;$H$5)-SUMIFS(Ventas_Des2!C11:BC11,SemanasVentas2,"&gt;=1",SemanasVentas2,"&lt;="&amp;$B$3)+Produccion_2026!B15</f>
        <v>3629</v>
      </c>
      <c r="K9" s="161">
        <f>HLOOKUP($B$3,Stock_Real2!$B$1:$BC$42,11,FALSE)</f>
        <v>3629</v>
      </c>
      <c r="L9" s="162">
        <f>+K9-J9</f>
        <v>0</v>
      </c>
    </row>
    <row r="10" spans="1:12" x14ac:dyDescent="0.2">
      <c r="A10" s="47" t="s">
        <v>171</v>
      </c>
      <c r="B10" s="119">
        <f t="shared" ref="B10:H10" si="3">HLOOKUP(B5,Datos2,11,FALSE)</f>
        <v>0</v>
      </c>
      <c r="C10" s="119">
        <f t="shared" si="3"/>
        <v>0</v>
      </c>
      <c r="D10" s="119">
        <f t="shared" si="3"/>
        <v>0</v>
      </c>
      <c r="E10" s="119">
        <f t="shared" si="3"/>
        <v>0</v>
      </c>
      <c r="F10" s="119">
        <f t="shared" si="3"/>
        <v>0</v>
      </c>
      <c r="G10" s="119">
        <f t="shared" si="3"/>
        <v>0</v>
      </c>
      <c r="H10" s="119">
        <f t="shared" si="3"/>
        <v>0</v>
      </c>
      <c r="I10" s="175">
        <f>SUM(B10:H10)</f>
        <v>0</v>
      </c>
      <c r="J10" s="45">
        <f>SUMIFS(Produccion_2026!B16:NE16,Fechas2,"&gt;="&amp;$A$4,Fechas2,"&lt;="&amp;$H$5)-SUMIFS(Ventas_Des2!C12:BC12,SemanasVentas2,"&gt;=1",SemanasVentas2,"&lt;="&amp;$B$3)+Produccion_2026!B16</f>
        <v>2029</v>
      </c>
      <c r="K10" s="121">
        <f>HLOOKUP($B$3,Stock_Real2!$B$1:$BC$42,12,FALSE)</f>
        <v>2029</v>
      </c>
      <c r="L10" s="46">
        <f>+K10-J10</f>
        <v>0</v>
      </c>
    </row>
    <row r="11" spans="1:12" ht="13.5" customHeight="1" x14ac:dyDescent="0.2">
      <c r="A11" s="47" t="s">
        <v>10</v>
      </c>
      <c r="B11" s="119">
        <f t="shared" ref="B11:H11" si="4">HLOOKUP(B5,Datos2,12,FALSE)</f>
        <v>0</v>
      </c>
      <c r="C11" s="119">
        <f t="shared" si="4"/>
        <v>0</v>
      </c>
      <c r="D11" s="119">
        <f t="shared" si="4"/>
        <v>420</v>
      </c>
      <c r="E11" s="119">
        <f t="shared" si="4"/>
        <v>0</v>
      </c>
      <c r="F11" s="119">
        <f t="shared" si="4"/>
        <v>1318</v>
      </c>
      <c r="G11" s="119">
        <f t="shared" si="4"/>
        <v>0</v>
      </c>
      <c r="H11" s="119">
        <f t="shared" si="4"/>
        <v>0</v>
      </c>
      <c r="I11" s="176">
        <f t="shared" ref="I11:I19" si="5">SUM(B11:H11)</f>
        <v>1738</v>
      </c>
      <c r="J11" s="121">
        <f>SUMIFS(Produccion_2026!B17:NE17,Fechas2,"&gt;="&amp;$A$4,Fechas2,"&lt;="&amp;$H$5)-SUMIFS(Ventas_Des2!C13:BC13,SemanasVentas2,"&gt;=1",SemanasVentas2,"&lt;="&amp;$B$3)+Produccion_2026!B17</f>
        <v>2442</v>
      </c>
      <c r="K11" s="121">
        <f>HLOOKUP($B$3,Stock_Real2!$B$1:$BC$42,13,FALSE)</f>
        <v>2442</v>
      </c>
      <c r="L11" s="46">
        <f t="shared" ref="L11:L23" si="6">+K11-J11</f>
        <v>0</v>
      </c>
    </row>
    <row r="12" spans="1:12" x14ac:dyDescent="0.2">
      <c r="A12" s="47" t="s">
        <v>89</v>
      </c>
      <c r="B12" s="119">
        <f t="shared" ref="B12:H12" si="7">HLOOKUP(B5,Datos2,13,FALSE)</f>
        <v>0</v>
      </c>
      <c r="C12" s="119">
        <f t="shared" si="7"/>
        <v>384</v>
      </c>
      <c r="D12" s="119">
        <f t="shared" si="7"/>
        <v>0</v>
      </c>
      <c r="E12" s="119">
        <f t="shared" si="7"/>
        <v>0</v>
      </c>
      <c r="F12" s="119">
        <f t="shared" si="7"/>
        <v>0</v>
      </c>
      <c r="G12" s="119">
        <f t="shared" si="7"/>
        <v>0</v>
      </c>
      <c r="H12" s="119">
        <f t="shared" si="7"/>
        <v>0</v>
      </c>
      <c r="I12" s="176">
        <f t="shared" si="5"/>
        <v>384</v>
      </c>
      <c r="J12" s="121">
        <f>SUMIFS(Produccion_2026!B18:NE18,Fechas2,"&gt;="&amp;$A$4,Fechas2,"&lt;="&amp;$H$5)-SUMIFS(Ventas_Des2!C14:BC14,SemanasVentas2,"&gt;=1",SemanasVentas2,"&lt;="&amp;$B$3)+Produccion_2026!B18</f>
        <v>916</v>
      </c>
      <c r="K12" s="121">
        <f>HLOOKUP($B$3,Stock_Real2!$B$1:$BC$42,14,FALSE)</f>
        <v>916</v>
      </c>
      <c r="L12" s="46">
        <f t="shared" si="6"/>
        <v>0</v>
      </c>
    </row>
    <row r="13" spans="1:12" x14ac:dyDescent="0.2">
      <c r="A13" s="47" t="s">
        <v>12</v>
      </c>
      <c r="B13" s="119">
        <f t="shared" ref="B13:H13" si="8">HLOOKUP(B5,Datos2,16,FALSE)</f>
        <v>168</v>
      </c>
      <c r="C13" s="119">
        <f t="shared" si="8"/>
        <v>120</v>
      </c>
      <c r="D13" s="119">
        <f t="shared" si="8"/>
        <v>228</v>
      </c>
      <c r="E13" s="119">
        <f t="shared" si="8"/>
        <v>194</v>
      </c>
      <c r="F13" s="119">
        <f t="shared" si="8"/>
        <v>0</v>
      </c>
      <c r="G13" s="119">
        <f t="shared" si="8"/>
        <v>0</v>
      </c>
      <c r="H13" s="119">
        <f t="shared" si="8"/>
        <v>0</v>
      </c>
      <c r="I13" s="176">
        <f t="shared" si="5"/>
        <v>710</v>
      </c>
      <c r="J13" s="121">
        <f>SUMIFS(Produccion_2026!B21:NE21,Fechas2,"&gt;="&amp;$A$4,Fechas2,"&lt;="&amp;$H$5)-SUMIFS(Ventas_Des2!C17:BC17,SemanasVentas2,"&gt;=1",SemanasVentas2,"&lt;="&amp;$B$3)+Produccion_2026!B21</f>
        <v>1404</v>
      </c>
      <c r="K13" s="121">
        <f>HLOOKUP($B$3,Stock_Real2!$B$1:$BC$42,17,FALSE)</f>
        <v>1404</v>
      </c>
      <c r="L13" s="46">
        <f t="shared" si="6"/>
        <v>0</v>
      </c>
    </row>
    <row r="14" spans="1:12" x14ac:dyDescent="0.2">
      <c r="A14" s="47" t="s">
        <v>13</v>
      </c>
      <c r="B14" s="119">
        <f t="shared" ref="B14:H14" si="9">HLOOKUP(B5,Datos2,17,FALSE)</f>
        <v>0</v>
      </c>
      <c r="C14" s="119">
        <f t="shared" si="9"/>
        <v>0</v>
      </c>
      <c r="D14" s="119">
        <f t="shared" si="9"/>
        <v>66</v>
      </c>
      <c r="E14" s="119">
        <f t="shared" si="9"/>
        <v>18</v>
      </c>
      <c r="F14" s="119">
        <f t="shared" si="9"/>
        <v>0</v>
      </c>
      <c r="G14" s="119">
        <f t="shared" si="9"/>
        <v>0</v>
      </c>
      <c r="H14" s="119">
        <f t="shared" si="9"/>
        <v>0</v>
      </c>
      <c r="I14" s="176">
        <f t="shared" si="5"/>
        <v>84</v>
      </c>
      <c r="J14" s="121">
        <f>SUMIFS(Produccion_2026!B22:NE22,Fechas2,"&gt;="&amp;$A$4,Fechas2,"&lt;="&amp;$H$5)-SUMIFS(Ventas_Des2!C18:BC18,SemanasVentas2,"&gt;=1",SemanasVentas2,"&lt;="&amp;$B$3)+Produccion_2026!B22</f>
        <v>242</v>
      </c>
      <c r="K14" s="121">
        <f>HLOOKUP($B$3,Stock_Real2!$B$1:$BC$42,18,FALSE)</f>
        <v>242</v>
      </c>
      <c r="L14" s="46">
        <f t="shared" si="6"/>
        <v>0</v>
      </c>
    </row>
    <row r="15" spans="1:12" ht="15" customHeight="1" x14ac:dyDescent="0.2">
      <c r="A15" s="47" t="s">
        <v>133</v>
      </c>
      <c r="B15" s="119">
        <f t="shared" ref="B15:H15" si="10">HLOOKUP(B5,Datos2,18,FALSE)</f>
        <v>0</v>
      </c>
      <c r="C15" s="119">
        <f t="shared" si="10"/>
        <v>0</v>
      </c>
      <c r="D15" s="119">
        <f t="shared" si="10"/>
        <v>0</v>
      </c>
      <c r="E15" s="119">
        <f t="shared" si="10"/>
        <v>0</v>
      </c>
      <c r="F15" s="119">
        <f t="shared" si="10"/>
        <v>0</v>
      </c>
      <c r="G15" s="119">
        <f t="shared" si="10"/>
        <v>0</v>
      </c>
      <c r="H15" s="119">
        <f t="shared" si="10"/>
        <v>0</v>
      </c>
      <c r="I15" s="176">
        <f t="shared" si="5"/>
        <v>0</v>
      </c>
      <c r="J15" s="121">
        <f>SUMIFS(Produccion_2026!B23:NE23,Fechas2,"&gt;="&amp;$A$4,Fechas2,"&lt;="&amp;$H$5)-SUMIFS(Ventas_Des2!C19:BC19,SemanasVentas2,"&gt;=1",SemanasVentas2,"&lt;="&amp;$B$3)+Produccion_2026!B23</f>
        <v>235</v>
      </c>
      <c r="K15" s="121">
        <f>HLOOKUP($B$3,Stock_Real2!$B$1:$BC$42,19,FALSE)</f>
        <v>235</v>
      </c>
      <c r="L15" s="46">
        <f t="shared" si="6"/>
        <v>0</v>
      </c>
    </row>
    <row r="16" spans="1:12" x14ac:dyDescent="0.2">
      <c r="A16" s="47" t="s">
        <v>135</v>
      </c>
      <c r="B16" s="119">
        <f t="shared" ref="B16:H16" si="11">HLOOKUP(B5,Datos2,19,FALSE)</f>
        <v>0</v>
      </c>
      <c r="C16" s="119">
        <f t="shared" si="11"/>
        <v>0</v>
      </c>
      <c r="D16" s="119">
        <f t="shared" si="11"/>
        <v>0</v>
      </c>
      <c r="E16" s="119">
        <f t="shared" si="11"/>
        <v>0</v>
      </c>
      <c r="F16" s="119">
        <f t="shared" si="11"/>
        <v>0</v>
      </c>
      <c r="G16" s="119">
        <f t="shared" si="11"/>
        <v>0</v>
      </c>
      <c r="H16" s="119">
        <f t="shared" si="11"/>
        <v>0</v>
      </c>
      <c r="I16" s="176">
        <f t="shared" si="5"/>
        <v>0</v>
      </c>
      <c r="J16" s="121">
        <f>SUMIFS(Produccion_2026!B24:NE24,Fechas2,"&gt;="&amp;$A$4,Fechas2,"&lt;="&amp;$H$5)-SUMIFS(Ventas_Des2!C20:BC20,SemanasVentas2,"&gt;=1",SemanasVentas2,"&lt;="&amp;$B$3)+Produccion_2026!B24</f>
        <v>124</v>
      </c>
      <c r="K16" s="121">
        <f>HLOOKUP($B$3,Stock_Real2!$B$1:$BC$42,20,FALSE)</f>
        <v>124</v>
      </c>
      <c r="L16" s="46">
        <f t="shared" si="6"/>
        <v>0</v>
      </c>
    </row>
    <row r="17" spans="1:13" x14ac:dyDescent="0.2">
      <c r="A17" s="47" t="s">
        <v>168</v>
      </c>
      <c r="B17" s="119">
        <f t="shared" ref="B17:H17" si="12">HLOOKUP(B5,Datos2,22,FALSE)</f>
        <v>0</v>
      </c>
      <c r="C17" s="119">
        <f t="shared" si="12"/>
        <v>0</v>
      </c>
      <c r="D17" s="119">
        <f t="shared" si="12"/>
        <v>0</v>
      </c>
      <c r="E17" s="119">
        <f t="shared" si="12"/>
        <v>0</v>
      </c>
      <c r="F17" s="119">
        <f t="shared" si="12"/>
        <v>0</v>
      </c>
      <c r="G17" s="119">
        <f t="shared" si="12"/>
        <v>0</v>
      </c>
      <c r="H17" s="119">
        <f t="shared" si="12"/>
        <v>0</v>
      </c>
      <c r="I17" s="176">
        <f t="shared" si="5"/>
        <v>0</v>
      </c>
      <c r="J17" s="121">
        <f>SUMIFS(Produccion_2026!B27:NE27,Fechas2,"&gt;="&amp;$A$4,Fechas2,"&lt;="&amp;$H$5)-SUMIFS(Ventas_Des2!C23:BC23,SemanasVentas2,"&gt;=1",SemanasVentas2,"&lt;="&amp;$B$3)+Produccion_2026!B27</f>
        <v>561</v>
      </c>
      <c r="K17" s="121">
        <f>HLOOKUP($B$3,Stock_Real2!$B$1:$BC$42,23,FALSE)</f>
        <v>561</v>
      </c>
      <c r="L17" s="46">
        <f t="shared" si="6"/>
        <v>0</v>
      </c>
    </row>
    <row r="18" spans="1:13" x14ac:dyDescent="0.2">
      <c r="A18" s="47" t="s">
        <v>169</v>
      </c>
      <c r="B18" s="119">
        <f t="shared" ref="B18:H18" si="13">HLOOKUP(B5,Datos2,23,FALSE)</f>
        <v>0</v>
      </c>
      <c r="C18" s="119">
        <f t="shared" si="13"/>
        <v>0</v>
      </c>
      <c r="D18" s="119">
        <f t="shared" si="13"/>
        <v>0</v>
      </c>
      <c r="E18" s="119">
        <f t="shared" si="13"/>
        <v>0</v>
      </c>
      <c r="F18" s="119">
        <f t="shared" si="13"/>
        <v>0</v>
      </c>
      <c r="G18" s="119">
        <f t="shared" si="13"/>
        <v>0</v>
      </c>
      <c r="H18" s="119">
        <f t="shared" si="13"/>
        <v>0</v>
      </c>
      <c r="I18" s="176">
        <f t="shared" si="5"/>
        <v>0</v>
      </c>
      <c r="J18" s="121">
        <f>SUMIFS(Produccion_2026!B28:NE28,Fechas2,"&gt;="&amp;$A$4,Fechas2,"&lt;="&amp;$H$5)-SUMIFS(Ventas_Des2!C24:BC24,SemanasVentas2,"&gt;=1",SemanasVentas2,"&lt;="&amp;$B$3)+Produccion_2026!B28</f>
        <v>946</v>
      </c>
      <c r="K18" s="121">
        <f>HLOOKUP($B$3,Stock_Real2!$B$1:$BC$42,24,FALSE)</f>
        <v>946</v>
      </c>
      <c r="L18" s="46">
        <f t="shared" si="6"/>
        <v>0</v>
      </c>
    </row>
    <row r="19" spans="1:13" x14ac:dyDescent="0.2">
      <c r="A19" s="47" t="s">
        <v>91</v>
      </c>
      <c r="B19" s="119">
        <f t="shared" ref="B19:H19" si="14">HLOOKUP(B5,Datos2,25,FALSE)</f>
        <v>265</v>
      </c>
      <c r="C19" s="119">
        <f t="shared" si="14"/>
        <v>82</v>
      </c>
      <c r="D19" s="119">
        <f t="shared" si="14"/>
        <v>223</v>
      </c>
      <c r="E19" s="119">
        <f t="shared" si="14"/>
        <v>181</v>
      </c>
      <c r="F19" s="119">
        <f t="shared" si="14"/>
        <v>0</v>
      </c>
      <c r="G19" s="119">
        <f t="shared" si="14"/>
        <v>0</v>
      </c>
      <c r="H19" s="119">
        <f t="shared" si="14"/>
        <v>0</v>
      </c>
      <c r="I19" s="176">
        <f t="shared" si="5"/>
        <v>751</v>
      </c>
      <c r="J19" s="121">
        <f>SUMIFS(Produccion_2026!B30:NE30,Fechas2,"&gt;="&amp;$A$4,Fechas2,"&lt;="&amp;$H$5)-SUMIFS(Ventas_Des2!C26:BC26,SemanasVentas2,"&gt;=1",SemanasVentas2,"&lt;="&amp;$B$3)+Produccion_2026!B30</f>
        <v>1541</v>
      </c>
      <c r="K19" s="121">
        <f>HLOOKUP($B$3,Stock_Real2!$B$1:$BC$42,26,FALSE)</f>
        <v>1541</v>
      </c>
      <c r="L19" s="46">
        <f t="shared" si="6"/>
        <v>0</v>
      </c>
      <c r="M19" s="111"/>
    </row>
    <row r="20" spans="1:13" x14ac:dyDescent="0.2">
      <c r="A20" s="47" t="s">
        <v>17</v>
      </c>
      <c r="B20" s="119">
        <f t="shared" ref="B20:H20" si="15">HLOOKUP(B5,Datos2,28,FALSE)</f>
        <v>0</v>
      </c>
      <c r="C20" s="119">
        <f t="shared" si="15"/>
        <v>0</v>
      </c>
      <c r="D20" s="119">
        <f t="shared" si="15"/>
        <v>0</v>
      </c>
      <c r="E20" s="119">
        <f t="shared" si="15"/>
        <v>0</v>
      </c>
      <c r="F20" s="119">
        <f t="shared" si="15"/>
        <v>0</v>
      </c>
      <c r="G20" s="119">
        <f t="shared" si="15"/>
        <v>0</v>
      </c>
      <c r="H20" s="119">
        <f t="shared" si="15"/>
        <v>0</v>
      </c>
      <c r="I20" s="176">
        <f>SUM(B20:H20)</f>
        <v>0</v>
      </c>
      <c r="J20" s="121">
        <f>SUMIFS(Produccion_2026!B33:NE33,Fechas2,"&gt;="&amp;$A$4,Fechas2,"&lt;="&amp;$H$5)-SUMIFS(Ventas_Des2!C29:BC29,SemanasVentas2,"&gt;=1",SemanasVentas2,"&lt;="&amp;$B$3)+Produccion_2026!B33</f>
        <v>0</v>
      </c>
      <c r="K20" s="121">
        <f>HLOOKUP($B$3,Stock_Real2!$B$1:$BC$42,29,FALSE)</f>
        <v>0</v>
      </c>
      <c r="L20" s="46">
        <f t="shared" si="6"/>
        <v>0</v>
      </c>
    </row>
    <row r="21" spans="1:13" x14ac:dyDescent="0.2">
      <c r="A21" s="47" t="s">
        <v>157</v>
      </c>
      <c r="B21" s="119">
        <f t="shared" ref="B21:H21" si="16">HLOOKUP(B5,Datos2,31,FALSE)</f>
        <v>20</v>
      </c>
      <c r="C21" s="119">
        <f t="shared" si="16"/>
        <v>60</v>
      </c>
      <c r="D21" s="119">
        <f t="shared" si="16"/>
        <v>0</v>
      </c>
      <c r="E21" s="119">
        <f t="shared" si="16"/>
        <v>0</v>
      </c>
      <c r="F21" s="119">
        <f t="shared" si="16"/>
        <v>45</v>
      </c>
      <c r="G21" s="119">
        <f t="shared" si="16"/>
        <v>0</v>
      </c>
      <c r="H21" s="119">
        <f t="shared" si="16"/>
        <v>0</v>
      </c>
      <c r="I21" s="176">
        <f t="shared" ref="I21:I23" si="17">SUM(B21:H21)</f>
        <v>125</v>
      </c>
      <c r="J21" s="121">
        <f>SUMIFS(Produccion_2026!B36:NE36,Fechas2,"&gt;="&amp;$A$4,Fechas2,"&lt;="&amp;$H$5)-SUMIFS(Ventas_Des2!C32:BC32,SemanasVentas2,"&gt;=1",SemanasVentas2,"&lt;="&amp;$B$3)+Produccion_2026!B36</f>
        <v>0</v>
      </c>
      <c r="K21" s="121">
        <f>HLOOKUP($B$3,Stock_Real2!$B$1:$BC$42,32,FALSE)</f>
        <v>0</v>
      </c>
      <c r="L21" s="122">
        <f t="shared" si="6"/>
        <v>0</v>
      </c>
    </row>
    <row r="22" spans="1:13" x14ac:dyDescent="0.2">
      <c r="A22" s="47" t="s">
        <v>156</v>
      </c>
      <c r="B22" s="119">
        <f t="shared" ref="B22:H22" si="18">HLOOKUP(B5,Datos2,32,FALSE)</f>
        <v>40</v>
      </c>
      <c r="C22" s="119">
        <f t="shared" si="18"/>
        <v>0</v>
      </c>
      <c r="D22" s="119">
        <f t="shared" si="18"/>
        <v>0</v>
      </c>
      <c r="E22" s="119">
        <f t="shared" si="18"/>
        <v>0</v>
      </c>
      <c r="F22" s="119">
        <f t="shared" si="18"/>
        <v>15</v>
      </c>
      <c r="G22" s="119">
        <f t="shared" si="18"/>
        <v>0</v>
      </c>
      <c r="H22" s="119">
        <f t="shared" si="18"/>
        <v>0</v>
      </c>
      <c r="I22" s="176">
        <f t="shared" si="17"/>
        <v>55</v>
      </c>
      <c r="J22" s="179">
        <f>SUMIFS(Produccion_2026!B37:NE37,Fechas2,"&gt;="&amp;$A$4,Fechas2,"&lt;="&amp;$H$5)-SUMIFS(Ventas_Des2!C33:BC33,SemanasVentas2,"&gt;=1",SemanasVentas2,"&lt;="&amp;$B$3)+Produccion_2026!B37</f>
        <v>0</v>
      </c>
      <c r="K22" s="121">
        <f>HLOOKUP($B$3,Stock_Real2!$B$1:$BC$42,33,FALSE)</f>
        <v>0</v>
      </c>
      <c r="L22" s="122">
        <f t="shared" si="6"/>
        <v>0</v>
      </c>
    </row>
    <row r="23" spans="1:13" ht="16" thickBot="1" x14ac:dyDescent="0.25">
      <c r="A23" s="48" t="s">
        <v>92</v>
      </c>
      <c r="B23" s="49">
        <f t="shared" ref="B23:H23" si="19">HLOOKUP(B5,Datos2,30,FALSE)</f>
        <v>0</v>
      </c>
      <c r="C23" s="49">
        <f t="shared" si="19"/>
        <v>0</v>
      </c>
      <c r="D23" s="49">
        <f t="shared" si="19"/>
        <v>0</v>
      </c>
      <c r="E23" s="49">
        <f t="shared" si="19"/>
        <v>385</v>
      </c>
      <c r="F23" s="49">
        <f t="shared" si="19"/>
        <v>0</v>
      </c>
      <c r="G23" s="49">
        <f t="shared" si="19"/>
        <v>0</v>
      </c>
      <c r="H23" s="49">
        <f t="shared" si="19"/>
        <v>0</v>
      </c>
      <c r="I23" s="177">
        <f t="shared" si="17"/>
        <v>385</v>
      </c>
      <c r="J23" s="163">
        <f>SUMIFS(Produccion_2026!B35:NE35,Fechas2,"&gt;="&amp;$A$4,Fechas2,"&lt;="&amp;$H$5)-SUMIFS(Ventas_Des2!C31:BC31,SemanasVentas2,"&gt;=1",SemanasVentas2,"&lt;="&amp;$B$3)+Produccion_2026!B35</f>
        <v>1892</v>
      </c>
      <c r="K23" s="163">
        <f>HLOOKUP($B$3,Stock_Real2!$B$1:$BC$42,31,FALSE)</f>
        <v>1892</v>
      </c>
      <c r="L23" s="164">
        <f t="shared" si="6"/>
        <v>0</v>
      </c>
    </row>
    <row r="24" spans="1:13" x14ac:dyDescent="0.2">
      <c r="A24" s="157"/>
      <c r="C24" s="181"/>
    </row>
    <row r="25" spans="1:13" ht="16" thickBot="1" x14ac:dyDescent="0.25">
      <c r="A25" s="180"/>
      <c r="C25" s="182"/>
    </row>
    <row r="26" spans="1:13" ht="20" thickBot="1" x14ac:dyDescent="0.3">
      <c r="A26" s="35" t="s">
        <v>99</v>
      </c>
      <c r="B26" s="107">
        <v>5</v>
      </c>
      <c r="C26" s="51" t="str">
        <f>VLOOKUP(B26,Meses,2,FALSE)</f>
        <v>Mayo</v>
      </c>
    </row>
    <row r="27" spans="1:13" ht="16" thickBot="1" x14ac:dyDescent="0.25">
      <c r="B27" s="37">
        <f>VLOOKUP(B26,Meses5,3,FALSE)</f>
        <v>46143</v>
      </c>
      <c r="C27" s="37">
        <f>VLOOKUP(B26,Meses5,4,FALSE)</f>
        <v>46173</v>
      </c>
    </row>
    <row r="28" spans="1:13" ht="21" thickBot="1" x14ac:dyDescent="0.3">
      <c r="A28" s="52" t="s">
        <v>100</v>
      </c>
      <c r="B28" s="52"/>
      <c r="C28" s="53">
        <f>SUMIFS(Produccion!B4:NI4,Fechas,"&gt;="&amp;Semanal2!$B$27,Fechas,"&lt;="&amp;Semanal2!$C$27)+365</f>
        <v>365</v>
      </c>
    </row>
    <row r="29" spans="1:13" x14ac:dyDescent="0.2">
      <c r="A29" s="54" t="s">
        <v>101</v>
      </c>
      <c r="B29" s="55" t="s">
        <v>102</v>
      </c>
      <c r="C29" s="56">
        <f>SUMIFS(Produccion_2026!B9:NE9,Fechas2,"&gt;="&amp;Semanal2!$B$27,Fechas2,"&lt;="&amp;Semanal2!$C$27)</f>
        <v>5107</v>
      </c>
    </row>
    <row r="30" spans="1:13" x14ac:dyDescent="0.2">
      <c r="A30" s="57" t="s">
        <v>103</v>
      </c>
      <c r="B30" s="58" t="s">
        <v>102</v>
      </c>
      <c r="C30" s="59">
        <f>SUMIFS(Produccion_2026!B11:NE11,Fechas2,"&gt;="&amp;Semanal2!$B$27,Fechas2,"&lt;="&amp;Semanal2!$C$27)</f>
        <v>0</v>
      </c>
    </row>
    <row r="31" spans="1:13" x14ac:dyDescent="0.2">
      <c r="A31" s="57" t="s">
        <v>103</v>
      </c>
      <c r="B31" s="58" t="s">
        <v>104</v>
      </c>
      <c r="C31" s="60">
        <f>C30/C28</f>
        <v>0</v>
      </c>
    </row>
    <row r="32" spans="1:13" x14ac:dyDescent="0.2">
      <c r="A32" s="57" t="s">
        <v>105</v>
      </c>
      <c r="B32" s="58" t="s">
        <v>102</v>
      </c>
      <c r="C32" s="61">
        <f>SUMIFS(Produccion_2026!B10:NE10,Fechas2,"&gt;="&amp;Semanal2!$B$27,Fechas2,"&lt;="&amp;Semanal2!$C$27)</f>
        <v>48</v>
      </c>
    </row>
    <row r="33" spans="1:3" x14ac:dyDescent="0.2">
      <c r="A33" s="57" t="s">
        <v>105</v>
      </c>
      <c r="B33" s="58" t="s">
        <v>104</v>
      </c>
      <c r="C33" s="199">
        <f>IFERROR(C32/C29,0)</f>
        <v>9.3988643038966126E-3</v>
      </c>
    </row>
    <row r="34" spans="1:3" x14ac:dyDescent="0.2">
      <c r="A34" s="57" t="s">
        <v>172</v>
      </c>
      <c r="B34" s="58" t="s">
        <v>107</v>
      </c>
      <c r="C34" s="59">
        <f>SUMIFS(Produccion_2026!B15:NE15,Fechas2,"&gt;="&amp;Semanal2!$B$27,Fechas2,"&lt;="&amp;Semanal2!$C$27)</f>
        <v>5860</v>
      </c>
    </row>
    <row r="35" spans="1:3" x14ac:dyDescent="0.2">
      <c r="A35" s="57" t="s">
        <v>173</v>
      </c>
      <c r="B35" s="58" t="s">
        <v>107</v>
      </c>
      <c r="C35" s="59">
        <f>SUMIFS(Produccion_2026!B16:NE16,Fechas2,"&gt;="&amp;Semanal2!$B$27,Fechas2,"&lt;="&amp;Semanal2!$C$27)</f>
        <v>3984</v>
      </c>
    </row>
    <row r="36" spans="1:3" x14ac:dyDescent="0.2">
      <c r="A36" s="57" t="s">
        <v>158</v>
      </c>
      <c r="B36" s="58" t="s">
        <v>107</v>
      </c>
      <c r="C36" s="59">
        <f>SUMIFS(Produccion_2026!B17:NE17,Fechas2,"&gt;="&amp;Semanal2!$B$27,Fechas2,"&lt;="&amp;Semanal2!$C$27)</f>
        <v>3112</v>
      </c>
    </row>
    <row r="37" spans="1:3" x14ac:dyDescent="0.2">
      <c r="A37" s="57" t="s">
        <v>109</v>
      </c>
      <c r="B37" s="58" t="s">
        <v>107</v>
      </c>
      <c r="C37" s="59">
        <f>SUMIFS(Produccion_2026!B18:NE18,Fechas2,"&gt;="&amp;Semanal2!$B$27,Fechas2,"&lt;="&amp;Semanal2!$C$27)</f>
        <v>838</v>
      </c>
    </row>
    <row r="38" spans="1:3" x14ac:dyDescent="0.2">
      <c r="A38" s="57" t="s">
        <v>110</v>
      </c>
      <c r="B38" s="58" t="s">
        <v>107</v>
      </c>
      <c r="C38" s="59">
        <f>SUMIFS(Produccion_2026!B21:NE21,Fechas2,"&gt;="&amp;Semanal2!$B$27,Fechas2,"&lt;="&amp;Semanal2!$C$27)</f>
        <v>1033</v>
      </c>
    </row>
    <row r="39" spans="1:3" x14ac:dyDescent="0.2">
      <c r="A39" s="57" t="s">
        <v>111</v>
      </c>
      <c r="B39" s="58" t="s">
        <v>107</v>
      </c>
      <c r="C39" s="59">
        <f>SUMIFS(Produccion_2026!B22:NE22,Fechas2,"&gt;="&amp;Semanal2!$B$27,Fechas2,"&lt;="&amp;Semanal2!$C$27)</f>
        <v>102</v>
      </c>
    </row>
    <row r="40" spans="1:3" x14ac:dyDescent="0.2">
      <c r="A40" s="57" t="s">
        <v>134</v>
      </c>
      <c r="B40" s="58" t="s">
        <v>107</v>
      </c>
      <c r="C40" s="59">
        <f>SUMIFS(Produccion_2026!B23:NE23,Fechas2,"&gt;="&amp;Semanal2!$B$27,Fechas2,"&lt;="&amp;Semanal2!$C$27)</f>
        <v>444</v>
      </c>
    </row>
    <row r="41" spans="1:3" x14ac:dyDescent="0.2">
      <c r="A41" s="57" t="s">
        <v>138</v>
      </c>
      <c r="B41" s="58" t="s">
        <v>107</v>
      </c>
      <c r="C41" s="59">
        <f>SUMIFS(Produccion_2026!B24:NE24,Fechas2,"&gt;="&amp;Semanal2!$B$27,Fechas2,"&lt;="&amp;Semanal2!$C$27)</f>
        <v>262</v>
      </c>
    </row>
    <row r="42" spans="1:3" x14ac:dyDescent="0.2">
      <c r="A42" s="57" t="s">
        <v>174</v>
      </c>
      <c r="B42" s="58" t="s">
        <v>107</v>
      </c>
      <c r="C42" s="59">
        <f>SUMIFS(Produccion_2026!B27:NE27,Fechas2,"&gt;="&amp;Semanal2!$B$27,Fechas2,"&lt;="&amp;Semanal2!$C$27)</f>
        <v>383</v>
      </c>
    </row>
    <row r="43" spans="1:3" x14ac:dyDescent="0.2">
      <c r="A43" s="57" t="s">
        <v>176</v>
      </c>
      <c r="B43" s="58" t="s">
        <v>107</v>
      </c>
      <c r="C43" s="59">
        <v>0</v>
      </c>
    </row>
    <row r="44" spans="1:3" x14ac:dyDescent="0.2">
      <c r="A44" s="57" t="s">
        <v>175</v>
      </c>
      <c r="B44" s="58" t="s">
        <v>107</v>
      </c>
      <c r="C44" s="59">
        <f>SUMIFS(Produccion_2026!B28:NE28,Fechas2,"&gt;="&amp;Semanal2!$B$27,Fechas2,"&lt;="&amp;Semanal2!$C$27)</f>
        <v>696</v>
      </c>
    </row>
    <row r="45" spans="1:3" x14ac:dyDescent="0.2">
      <c r="A45" s="57" t="s">
        <v>115</v>
      </c>
      <c r="B45" s="58" t="s">
        <v>102</v>
      </c>
      <c r="C45" s="172">
        <f>SUMIFS(Produccion_2026!B30:NE30,Fechas2,"&gt;="&amp;Semanal2!$B$27,Fechas2,"&lt;="&amp;Semanal2!$C$27)+SUMIFS(Produccion_2026!B33:NE33,Fechas2,"&gt;="&amp;Semanal2!$B$27,Fechas2,"&lt;="&amp;Semanal2!$C$27)</f>
        <v>856</v>
      </c>
    </row>
    <row r="46" spans="1:3" x14ac:dyDescent="0.2">
      <c r="A46" s="63" t="s">
        <v>116</v>
      </c>
      <c r="B46" s="64" t="s">
        <v>117</v>
      </c>
      <c r="C46" s="61"/>
    </row>
    <row r="47" spans="1:3" ht="16" thickBot="1" x14ac:dyDescent="0.25">
      <c r="A47" s="65" t="s">
        <v>118</v>
      </c>
      <c r="B47" s="66" t="s">
        <v>117</v>
      </c>
      <c r="C47" s="67"/>
    </row>
    <row r="1012" spans="2:2" x14ac:dyDescent="0.2">
      <c r="B1012" s="34">
        <v>3</v>
      </c>
    </row>
    <row r="1252" spans="2:2" x14ac:dyDescent="0.2">
      <c r="B1252" s="34">
        <v>0</v>
      </c>
    </row>
  </sheetData>
  <sheetProtection sheet="1" objects="1" scenarios="1"/>
  <mergeCells count="1">
    <mergeCell ref="A8:L8"/>
  </mergeCells>
  <conditionalFormatting sqref="L6:L7">
    <cfRule type="cellIs" dxfId="2" priority="1" operator="lessThan">
      <formula>0</formula>
    </cfRule>
  </conditionalFormatting>
  <conditionalFormatting sqref="L9:L23">
    <cfRule type="cellIs" dxfId="1" priority="3" operator="lessThan">
      <formula>0</formula>
    </cfRule>
  </conditionalFormatting>
  <pageMargins left="0.7" right="0.7" top="0.75" bottom="0.75" header="0.3" footer="0.3"/>
  <pageSetup orientation="portrait" horizontalDpi="4294967293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2:M1251"/>
  <sheetViews>
    <sheetView showGridLines="0" zoomScaleNormal="100" workbookViewId="0">
      <selection activeCell="I6" sqref="I6"/>
    </sheetView>
  </sheetViews>
  <sheetFormatPr baseColWidth="10" defaultColWidth="11.5" defaultRowHeight="15" x14ac:dyDescent="0.2"/>
  <cols>
    <col min="1" max="1" width="37.5" style="34" customWidth="1"/>
    <col min="2" max="2" width="10.5" style="34" customWidth="1"/>
    <col min="3" max="3" width="12.5" style="34" customWidth="1"/>
    <col min="4" max="8" width="10.5" style="34" customWidth="1"/>
    <col min="9" max="9" width="9.5" style="34" bestFit="1" customWidth="1"/>
    <col min="10" max="10" width="11.33203125" style="34" customWidth="1"/>
    <col min="11" max="11" width="13" style="34" customWidth="1"/>
    <col min="12" max="12" width="8.5" style="34" customWidth="1"/>
    <col min="13" max="16384" width="11.5" style="34"/>
  </cols>
  <sheetData>
    <row r="2" spans="1:12" ht="16" thickBot="1" x14ac:dyDescent="0.25"/>
    <row r="3" spans="1:12" ht="20" thickBot="1" x14ac:dyDescent="0.3">
      <c r="A3" s="35" t="s">
        <v>93</v>
      </c>
      <c r="B3" s="36">
        <v>53</v>
      </c>
    </row>
    <row r="4" spans="1:12" ht="16" thickBot="1" x14ac:dyDescent="0.25">
      <c r="A4" s="37">
        <v>43466</v>
      </c>
    </row>
    <row r="5" spans="1:12" s="41" customFormat="1" ht="27.75" customHeight="1" thickBot="1" x14ac:dyDescent="0.3">
      <c r="A5" s="38" t="s">
        <v>0</v>
      </c>
      <c r="B5" s="39">
        <f>VLOOKUP(B3,Semana21,2,FALSE)</f>
        <v>44557</v>
      </c>
      <c r="C5" s="39">
        <f>+B5+1</f>
        <v>44558</v>
      </c>
      <c r="D5" s="39">
        <f>+C5+1</f>
        <v>44559</v>
      </c>
      <c r="E5" s="39">
        <f>+D5+1</f>
        <v>44560</v>
      </c>
      <c r="F5" s="39">
        <f>+E5+1</f>
        <v>44561</v>
      </c>
      <c r="G5" s="39">
        <f>+F5+1</f>
        <v>44562</v>
      </c>
      <c r="H5" s="39">
        <f>VLOOKUP(B3,Semana21,3,FALSE)</f>
        <v>44563</v>
      </c>
      <c r="I5" s="40" t="s">
        <v>95</v>
      </c>
      <c r="J5" s="40" t="s">
        <v>96</v>
      </c>
      <c r="K5" s="40" t="s">
        <v>97</v>
      </c>
      <c r="L5" s="40" t="s">
        <v>98</v>
      </c>
    </row>
    <row r="6" spans="1:12" ht="16" thickBot="1" x14ac:dyDescent="0.25">
      <c r="A6" s="42" t="s">
        <v>86</v>
      </c>
      <c r="B6" s="43">
        <f t="shared" ref="B6:H6" si="0">HLOOKUP(B5,Datos,4,FALSE)</f>
        <v>369</v>
      </c>
      <c r="C6" s="43">
        <f t="shared" si="0"/>
        <v>853</v>
      </c>
      <c r="D6" s="43">
        <f t="shared" si="0"/>
        <v>682</v>
      </c>
      <c r="E6" s="43">
        <f t="shared" si="0"/>
        <v>1243</v>
      </c>
      <c r="F6" s="43">
        <f>HLOOKUP(F5,Datos,4,FALSE)</f>
        <v>495</v>
      </c>
      <c r="G6" s="43">
        <f t="shared" si="0"/>
        <v>0</v>
      </c>
      <c r="H6" s="43">
        <f t="shared" si="0"/>
        <v>0</v>
      </c>
      <c r="I6" s="157">
        <f>SUM(B6:H6)</f>
        <v>3642</v>
      </c>
      <c r="J6" s="157">
        <f>SUMIFS(Produccion!$B$4:$NI$4,Fechas,"&gt;="&amp;Semanal!A4,Fechas,"&lt;="&amp;Semanal!H5)-SUMIFS(Produccion!$B$5:$NI$5,Fechas,"&gt;="&amp;Semanal!A4,Fechas,"&lt;="&amp;Semanal!H5)-SUMIFS(Produccion!$B$6:$NI$6,Fechas,"&gt;="&amp;Semanal!A4,Fechas,"&lt;="&amp;Semanal!H5)-SUMIFS(Produccion!$B$7:$NI$7,Fechas,"&gt;="&amp;Semanal!A4,Fechas,"&lt;="&amp;Semanal!H5)</f>
        <v>1027</v>
      </c>
      <c r="K6" s="157">
        <f>HLOOKUP($B$3,Stock_Real!$B$1:$BC$42,3,FALSE)</f>
        <v>1029</v>
      </c>
      <c r="L6" s="157">
        <f>+K6-J6</f>
        <v>2</v>
      </c>
    </row>
    <row r="7" spans="1:12" ht="18.75" customHeight="1" thickBot="1" x14ac:dyDescent="0.3">
      <c r="A7" s="259" t="s">
        <v>87</v>
      </c>
      <c r="B7" s="260"/>
      <c r="C7" s="260"/>
      <c r="D7" s="260"/>
      <c r="E7" s="260"/>
      <c r="F7" s="260"/>
      <c r="G7" s="260"/>
      <c r="H7" s="260"/>
      <c r="I7" s="260"/>
      <c r="J7" s="260"/>
      <c r="K7" s="260"/>
      <c r="L7" s="261"/>
    </row>
    <row r="8" spans="1:12" x14ac:dyDescent="0.2">
      <c r="A8" s="158" t="s">
        <v>8</v>
      </c>
      <c r="B8" s="159">
        <f>HLOOKUP($B$5,Datos,10,FALSE)</f>
        <v>1883</v>
      </c>
      <c r="C8" s="160">
        <f>HLOOKUP($C$5,Datos,10,FALSE)</f>
        <v>0</v>
      </c>
      <c r="D8" s="160">
        <v>0</v>
      </c>
      <c r="E8" s="160">
        <f>HLOOKUP(E5,Datos,10,FALSE)</f>
        <v>553</v>
      </c>
      <c r="F8" s="160">
        <f>HLOOKUP(F5,Datos,10,FALSE)</f>
        <v>0</v>
      </c>
      <c r="G8" s="160">
        <f>HLOOKUP(G5,Datos,10,FALSE)</f>
        <v>0</v>
      </c>
      <c r="H8" s="160">
        <f>HLOOKUP(H5,Datos,10,FALSE)</f>
        <v>0</v>
      </c>
      <c r="I8" s="161">
        <f>SUM(B8:H8)</f>
        <v>2436</v>
      </c>
      <c r="J8" s="165">
        <f>SUMIFS(Produccion!B11:NI11,Fechas,"&gt;="&amp;$A$4,Fechas,"&lt;="&amp;$H$5)-SUMIFS(Ventas_Des!C11:BC11,SemanasVentas,"&gt;=1",SemanasVentas,"&lt;="&amp;$B$3)</f>
        <v>3080</v>
      </c>
      <c r="K8" s="161">
        <f>HLOOKUP($B$3,Stock_Real!$B$1:$BC$42,11,FALSE)</f>
        <v>3080</v>
      </c>
      <c r="L8" s="162">
        <f>+K8-J8</f>
        <v>0</v>
      </c>
    </row>
    <row r="9" spans="1:12" x14ac:dyDescent="0.2">
      <c r="A9" s="47" t="s">
        <v>88</v>
      </c>
      <c r="B9" s="119">
        <f t="shared" ref="B9" si="1">HLOOKUP($B$5,Datos,11,FALSE)</f>
        <v>0</v>
      </c>
      <c r="C9" s="119">
        <f>HLOOKUP($C$5,Datos,11,FALSE)</f>
        <v>0</v>
      </c>
      <c r="D9" s="119">
        <v>0</v>
      </c>
      <c r="E9" s="119">
        <f>HLOOKUP($C$5,Datos,11,FALSE)</f>
        <v>0</v>
      </c>
      <c r="F9" s="119">
        <f>HLOOKUP($C$5,Datos,11,FALSE)</f>
        <v>0</v>
      </c>
      <c r="G9" s="119">
        <f>HLOOKUP($C$5,Datos,11,FALSE)</f>
        <v>0</v>
      </c>
      <c r="H9" s="119">
        <v>0</v>
      </c>
      <c r="I9" s="45">
        <f>SUM(B9:H9)</f>
        <v>0</v>
      </c>
      <c r="J9" s="45">
        <f>SUMIFS(Produccion!B12:NI12,Fechas,"&gt;="&amp;$A$4,Fechas,"&lt;="&amp;$H$5)-SUMIFS(Ventas_Des!C12:BC12,SemanasVentas,"&gt;=1",SemanasVentas,"&lt;="&amp;$B$3)</f>
        <v>1728</v>
      </c>
      <c r="K9" s="121">
        <f>HLOOKUP($B$3,Stock_Real!$B$1:$BC$42,12,FALSE)</f>
        <v>1728</v>
      </c>
      <c r="L9" s="46">
        <f>+K9-J9</f>
        <v>0</v>
      </c>
    </row>
    <row r="10" spans="1:12" ht="13.5" customHeight="1" x14ac:dyDescent="0.2">
      <c r="A10" s="47" t="s">
        <v>10</v>
      </c>
      <c r="B10" s="119">
        <f t="shared" ref="B10:H10" si="2">HLOOKUP(B5,Datos,12,FALSE)</f>
        <v>855</v>
      </c>
      <c r="C10" s="119">
        <f>HLOOKUP(C5,Datos,12,FALSE)</f>
        <v>0</v>
      </c>
      <c r="D10" s="119">
        <f t="shared" si="2"/>
        <v>0</v>
      </c>
      <c r="E10" s="119">
        <f t="shared" si="2"/>
        <v>133</v>
      </c>
      <c r="F10" s="119">
        <f t="shared" si="2"/>
        <v>0</v>
      </c>
      <c r="G10" s="119">
        <f t="shared" si="2"/>
        <v>0</v>
      </c>
      <c r="H10" s="119">
        <f t="shared" si="2"/>
        <v>0</v>
      </c>
      <c r="I10" s="121">
        <f t="shared" ref="I10:I18" si="3">SUM(B10:H10)</f>
        <v>988</v>
      </c>
      <c r="J10" s="121">
        <f>SUMIFS(Produccion!B13:NI13,Fechas,"&gt;="&amp;$A$4,Fechas,"&lt;="&amp;$H$5)-SUMIFS(Ventas_Des!C13:BC13,SemanasVentas,"&gt;=1",SemanasVentas,"&lt;="&amp;$B$3)</f>
        <v>2034</v>
      </c>
      <c r="K10" s="121">
        <f>HLOOKUP($B$3,Stock_Real!$B$1:$BC$42,13,FALSE)</f>
        <v>2034</v>
      </c>
      <c r="L10" s="46">
        <f t="shared" ref="L10:L19" si="4">+K10-J10</f>
        <v>0</v>
      </c>
    </row>
    <row r="11" spans="1:12" x14ac:dyDescent="0.2">
      <c r="A11" s="47" t="s">
        <v>89</v>
      </c>
      <c r="B11" s="119">
        <f>HLOOKUP($B$5,Datos,13,FALSE)</f>
        <v>0</v>
      </c>
      <c r="C11" s="119">
        <f>HLOOKUP($C$5,Datos,13,FALSE)</f>
        <v>193</v>
      </c>
      <c r="D11" s="120">
        <f t="shared" ref="D11:H11" si="5">HLOOKUP(D5,Datos,13,FALSE)</f>
        <v>124</v>
      </c>
      <c r="E11" s="120">
        <f t="shared" si="5"/>
        <v>0</v>
      </c>
      <c r="F11" s="120">
        <v>0</v>
      </c>
      <c r="G11" s="120">
        <f t="shared" si="5"/>
        <v>0</v>
      </c>
      <c r="H11" s="120">
        <f t="shared" si="5"/>
        <v>0</v>
      </c>
      <c r="I11" s="121">
        <f t="shared" si="3"/>
        <v>317</v>
      </c>
      <c r="J11" s="121">
        <f>SUMIFS(Produccion!B14:NI14,Fechas,"&gt;="&amp;$A$4,Fechas,"&lt;="&amp;$H$5)-SUMIFS(Ventas_Des!C14:BC14,SemanasVentas,"&gt;=1",SemanasVentas,"&lt;="&amp;$B$3)</f>
        <v>534</v>
      </c>
      <c r="K11" s="121">
        <f>HLOOKUP($B$3,Stock_Real!$B$1:$BC$42,14,FALSE)</f>
        <v>534</v>
      </c>
      <c r="L11" s="46">
        <f t="shared" si="4"/>
        <v>0</v>
      </c>
    </row>
    <row r="12" spans="1:12" x14ac:dyDescent="0.2">
      <c r="A12" s="47" t="s">
        <v>12</v>
      </c>
      <c r="B12" s="119">
        <f>HLOOKUP($B$5,Datos,16,FALSE)</f>
        <v>0</v>
      </c>
      <c r="C12" s="119">
        <f t="shared" ref="C12:H12" si="6">HLOOKUP(C5,Datos,16,FALSE)</f>
        <v>270</v>
      </c>
      <c r="D12" s="119">
        <f t="shared" si="6"/>
        <v>0</v>
      </c>
      <c r="E12" s="119">
        <f t="shared" si="6"/>
        <v>471</v>
      </c>
      <c r="F12" s="119">
        <f t="shared" si="6"/>
        <v>0</v>
      </c>
      <c r="G12" s="119">
        <f t="shared" si="6"/>
        <v>0</v>
      </c>
      <c r="H12" s="119">
        <f t="shared" si="6"/>
        <v>0</v>
      </c>
      <c r="I12" s="121">
        <f t="shared" si="3"/>
        <v>741</v>
      </c>
      <c r="J12" s="121">
        <f>SUMIFS(Produccion!B17:NI17,Fechas,"&gt;="&amp;$A$4,Fechas,"&lt;="&amp;$H$5)-SUMIFS(Ventas_Des!C17:BC17,SemanasVentas,"&gt;=1",SemanasVentas,"&lt;="&amp;$B$3)</f>
        <v>332</v>
      </c>
      <c r="K12" s="121">
        <f>HLOOKUP($B$3,Stock_Real!$B$1:$BC$42,17,FALSE)</f>
        <v>332</v>
      </c>
      <c r="L12" s="46">
        <f t="shared" si="4"/>
        <v>0</v>
      </c>
    </row>
    <row r="13" spans="1:12" x14ac:dyDescent="0.2">
      <c r="A13" s="47" t="s">
        <v>13</v>
      </c>
      <c r="B13" s="119">
        <f>HLOOKUP($B$5,Datos,17,FALSE)</f>
        <v>0</v>
      </c>
      <c r="C13" s="119">
        <f t="shared" ref="C13:H13" si="7">HLOOKUP(C5,Datos,17,FALSE)</f>
        <v>96</v>
      </c>
      <c r="D13" s="119">
        <f t="shared" si="7"/>
        <v>0</v>
      </c>
      <c r="E13" s="119">
        <f t="shared" si="7"/>
        <v>87</v>
      </c>
      <c r="F13" s="119">
        <f t="shared" si="7"/>
        <v>0</v>
      </c>
      <c r="G13" s="119">
        <f t="shared" si="7"/>
        <v>0</v>
      </c>
      <c r="H13" s="119">
        <f t="shared" si="7"/>
        <v>0</v>
      </c>
      <c r="I13" s="121">
        <f t="shared" si="3"/>
        <v>183</v>
      </c>
      <c r="J13" s="121">
        <f>SUMIFS(Produccion!B18:NI18,Fechas,"&gt;="&amp;$A$4,Fechas,"&lt;="&amp;$H$5)-SUMIFS(Ventas_Des!C18:BC18,SemanasVentas,"&gt;=1",SemanasVentas,"&lt;="&amp;$B$3)</f>
        <v>85</v>
      </c>
      <c r="K13" s="121">
        <f>HLOOKUP($B$3,Stock_Real!$B$1:$BC$42,18,FALSE)</f>
        <v>85</v>
      </c>
      <c r="L13" s="46">
        <f t="shared" si="4"/>
        <v>0</v>
      </c>
    </row>
    <row r="14" spans="1:12" ht="15" customHeight="1" x14ac:dyDescent="0.2">
      <c r="A14" s="47" t="s">
        <v>133</v>
      </c>
      <c r="B14" s="119">
        <f>HLOOKUP($B$5,Datos,18,FALSE)</f>
        <v>0</v>
      </c>
      <c r="C14" s="120">
        <f>HLOOKUP(C5,Datos,18,FALSE)</f>
        <v>0</v>
      </c>
      <c r="D14" s="120">
        <f t="shared" ref="D14:H14" si="8">HLOOKUP(D5,Datos,18,FALSE)</f>
        <v>0</v>
      </c>
      <c r="E14" s="120">
        <f>HLOOKUP(E5,Datos,18,FALSE)</f>
        <v>0</v>
      </c>
      <c r="F14" s="120">
        <f>HLOOKUP(F5,Datos,18,FALSE)</f>
        <v>0</v>
      </c>
      <c r="G14" s="120">
        <f>HLOOKUP(G5,Datos,18,FALSE)</f>
        <v>0</v>
      </c>
      <c r="H14" s="120">
        <f t="shared" si="8"/>
        <v>0</v>
      </c>
      <c r="I14" s="121">
        <f t="shared" si="3"/>
        <v>0</v>
      </c>
      <c r="J14" s="121">
        <f>SUMIFS(Produccion!B19:NI19,Fechas,"&gt;="&amp;$A$4,Fechas,"&lt;="&amp;$H$5)-SUMIFS(Ventas_Des!C19:BC19,SemanasVentas,"&gt;=1",SemanasVentas,"&lt;="&amp;$B$3)</f>
        <v>1259</v>
      </c>
      <c r="K14" s="121">
        <f>HLOOKUP($B$3,Stock_Real!$B$1:$BC$42,19,FALSE)</f>
        <v>1259</v>
      </c>
      <c r="L14" s="46">
        <f t="shared" si="4"/>
        <v>0</v>
      </c>
    </row>
    <row r="15" spans="1:12" x14ac:dyDescent="0.2">
      <c r="A15" s="47" t="s">
        <v>135</v>
      </c>
      <c r="B15" s="119">
        <f t="shared" ref="B15:H15" si="9">HLOOKUP(B5,Datos,19,FALSE)</f>
        <v>0</v>
      </c>
      <c r="C15" s="119">
        <f t="shared" si="9"/>
        <v>0</v>
      </c>
      <c r="D15" s="119">
        <f t="shared" si="9"/>
        <v>0</v>
      </c>
      <c r="E15" s="119">
        <f t="shared" si="9"/>
        <v>0</v>
      </c>
      <c r="F15" s="119">
        <f t="shared" si="9"/>
        <v>0</v>
      </c>
      <c r="G15" s="119">
        <f t="shared" si="9"/>
        <v>0</v>
      </c>
      <c r="H15" s="119">
        <f t="shared" si="9"/>
        <v>0</v>
      </c>
      <c r="I15" s="121">
        <f t="shared" si="3"/>
        <v>0</v>
      </c>
      <c r="J15" s="121">
        <f>SUMIFS(Produccion!B20:NI20,Fechas,"&gt;="&amp;$A$4,Fechas,"&lt;="&amp;$H$5)-SUMIFS(Ventas_Des!C20:BC20,SemanasVentas,"&gt;=1",SemanasVentas,"&lt;="&amp;$B$3)</f>
        <v>296</v>
      </c>
      <c r="K15" s="121">
        <f>HLOOKUP($B$3,Stock_Real!$B$1:$BC$42,20,FALSE)</f>
        <v>296</v>
      </c>
      <c r="L15" s="46">
        <f t="shared" si="4"/>
        <v>0</v>
      </c>
    </row>
    <row r="16" spans="1:12" x14ac:dyDescent="0.2">
      <c r="A16" s="47" t="s">
        <v>14</v>
      </c>
      <c r="B16" s="119">
        <f t="shared" ref="B16:H16" si="10">HLOOKUP(B5,Datos,22,FALSE)</f>
        <v>0</v>
      </c>
      <c r="C16" s="119">
        <f t="shared" si="10"/>
        <v>316</v>
      </c>
      <c r="D16" s="119">
        <f t="shared" si="10"/>
        <v>0</v>
      </c>
      <c r="E16" s="119">
        <f t="shared" si="10"/>
        <v>0</v>
      </c>
      <c r="F16" s="119">
        <f t="shared" si="10"/>
        <v>0</v>
      </c>
      <c r="G16" s="119" t="str">
        <f t="shared" si="10"/>
        <v xml:space="preserve">    </v>
      </c>
      <c r="H16" s="119">
        <f t="shared" si="10"/>
        <v>0</v>
      </c>
      <c r="I16" s="121">
        <f t="shared" si="3"/>
        <v>316</v>
      </c>
      <c r="J16" s="121">
        <f>SUMIFS(Produccion!B23:NI23,Fechas,"&gt;="&amp;$A$4,Fechas,"&lt;="&amp;$H$5)-SUMIFS(Ventas_Des!C23:BC23,SemanasVentas,"&gt;=1",SemanasVentas,"&lt;="&amp;$B$3)</f>
        <v>321</v>
      </c>
      <c r="K16" s="121">
        <f>HLOOKUP($B$3,Stock_Real!$B$1:$BC$42,23,FALSE)</f>
        <v>321</v>
      </c>
      <c r="L16" s="46">
        <f t="shared" si="4"/>
        <v>0</v>
      </c>
    </row>
    <row r="17" spans="1:13" x14ac:dyDescent="0.2">
      <c r="A17" s="47" t="s">
        <v>90</v>
      </c>
      <c r="B17" s="119">
        <f>HLOOKUP($B$5,Datos,23,FALSE)</f>
        <v>0</v>
      </c>
      <c r="C17" s="120">
        <f t="shared" ref="C17:H17" si="11">HLOOKUP(C5,Datos,23,FALSE)</f>
        <v>0</v>
      </c>
      <c r="D17" s="120">
        <f t="shared" si="11"/>
        <v>599</v>
      </c>
      <c r="E17" s="120">
        <f t="shared" si="11"/>
        <v>0</v>
      </c>
      <c r="F17" s="120">
        <f t="shared" si="11"/>
        <v>0</v>
      </c>
      <c r="G17" s="120">
        <f>HLOOKUP(G5,Datos,23,FALSE)</f>
        <v>0</v>
      </c>
      <c r="H17" s="120">
        <f t="shared" si="11"/>
        <v>0</v>
      </c>
      <c r="I17" s="121">
        <f t="shared" si="3"/>
        <v>599</v>
      </c>
      <c r="J17" s="121">
        <f>SUMIFS(Produccion!B24:NI24,Fechas,"&gt;="&amp;$A$4,Fechas,"&lt;="&amp;$H$5)-SUMIFS(Ventas_Des!C24:BC24,SemanasVentas,"&gt;=1",SemanasVentas,"&lt;="&amp;$B$3)</f>
        <v>635</v>
      </c>
      <c r="K17" s="121">
        <f>HLOOKUP($B$3,Stock_Real!$B$1:$BC$42,24,FALSE)</f>
        <v>635</v>
      </c>
      <c r="L17" s="46">
        <f t="shared" si="4"/>
        <v>0</v>
      </c>
    </row>
    <row r="18" spans="1:13" x14ac:dyDescent="0.2">
      <c r="A18" s="47" t="s">
        <v>91</v>
      </c>
      <c r="B18" s="119">
        <f>HLOOKUP($B$5,Datos,25,FALSE)</f>
        <v>143</v>
      </c>
      <c r="C18" s="119">
        <f t="shared" ref="C18:H18" si="12">HLOOKUP(C5,Datos,25,FALSE)</f>
        <v>133</v>
      </c>
      <c r="D18" s="119">
        <f>HLOOKUP(D5,Datos,25,FALSE)</f>
        <v>234</v>
      </c>
      <c r="E18" s="120">
        <f t="shared" si="12"/>
        <v>157</v>
      </c>
      <c r="F18" s="120">
        <f t="shared" si="12"/>
        <v>220</v>
      </c>
      <c r="G18" s="120">
        <f t="shared" si="12"/>
        <v>0</v>
      </c>
      <c r="H18" s="120">
        <f t="shared" si="12"/>
        <v>0</v>
      </c>
      <c r="I18" s="121">
        <f t="shared" si="3"/>
        <v>887</v>
      </c>
      <c r="J18" s="121">
        <f>SUMIFS(Produccion!B26:NI26,Fechas,"&gt;="&amp;$A$4,Fechas,"&lt;="&amp;$H$5)-SUMIFS(Ventas_Des!C26:BC26,SemanasVentas,"&gt;=1",SemanasVentas,"&lt;="&amp;$B$3)</f>
        <v>8107</v>
      </c>
      <c r="K18" s="121">
        <f>HLOOKUP($B$3,Stock_Real!$B$1:$BC$42,26,FALSE)</f>
        <v>8107</v>
      </c>
      <c r="L18" s="46">
        <f t="shared" si="4"/>
        <v>0</v>
      </c>
      <c r="M18" s="111"/>
    </row>
    <row r="19" spans="1:13" x14ac:dyDescent="0.2">
      <c r="A19" s="47" t="s">
        <v>17</v>
      </c>
      <c r="B19" s="119">
        <f>HLOOKUP($B$5,Datos,28,FALSE)</f>
        <v>0</v>
      </c>
      <c r="C19" s="120">
        <f t="shared" ref="C19:H19" si="13">HLOOKUP(C5,Datos,28,FALSE)</f>
        <v>0</v>
      </c>
      <c r="D19" s="120">
        <f t="shared" si="13"/>
        <v>0</v>
      </c>
      <c r="E19" s="120">
        <f t="shared" si="13"/>
        <v>0</v>
      </c>
      <c r="F19" s="120">
        <f t="shared" si="13"/>
        <v>0</v>
      </c>
      <c r="G19" s="120">
        <f t="shared" si="13"/>
        <v>0</v>
      </c>
      <c r="H19" s="120">
        <f t="shared" si="13"/>
        <v>0</v>
      </c>
      <c r="I19" s="121">
        <f>SUM(B19:H19)</f>
        <v>0</v>
      </c>
      <c r="J19" s="121">
        <f>SUMIFS(Produccion!B29:NI29,Fechas,"&gt;="&amp;$A$4,Fechas,"&lt;="&amp;$H$5)-SUMIFS(Ventas_Des!C29:BC29,SemanasVentas,"&gt;=1",SemanasVentas,"&lt;="&amp;$B$3)</f>
        <v>0</v>
      </c>
      <c r="K19" s="121">
        <f>HLOOKUP($B$3,Stock_Real!$B$1:$BC$42,29,FALSE)</f>
        <v>0</v>
      </c>
      <c r="L19" s="46">
        <f t="shared" si="4"/>
        <v>0</v>
      </c>
    </row>
    <row r="20" spans="1:13" x14ac:dyDescent="0.2">
      <c r="A20" s="47" t="s">
        <v>157</v>
      </c>
      <c r="B20" s="119">
        <f>HLOOKUP($B$5,Datos,31,FALSE)</f>
        <v>0</v>
      </c>
      <c r="C20" s="119">
        <f>HLOOKUP($C$5,Datos,31,FALSE)</f>
        <v>0</v>
      </c>
      <c r="D20" s="119">
        <f>HLOOKUP($D$5,Datos,31,FALSE)</f>
        <v>62</v>
      </c>
      <c r="E20" s="120">
        <f t="shared" ref="E20:H20" si="14">HLOOKUP(E5,Datos,31,FALSE)</f>
        <v>0</v>
      </c>
      <c r="F20" s="120">
        <f>HLOOKUP(F5,Datos,31,FALSE)</f>
        <v>0</v>
      </c>
      <c r="G20" s="120">
        <f>HLOOKUP(G5,Datos,31,FALSE)</f>
        <v>0</v>
      </c>
      <c r="H20" s="120">
        <f t="shared" si="14"/>
        <v>0</v>
      </c>
      <c r="I20" s="121">
        <f t="shared" ref="I20:I22" si="15">SUM(B20:H20)</f>
        <v>62</v>
      </c>
      <c r="J20" s="121">
        <v>0</v>
      </c>
      <c r="K20" s="121">
        <f>HLOOKUP($B$3,Stock_Real!$B$1:$BC$42,32,FALSE)</f>
        <v>0</v>
      </c>
      <c r="L20" s="122">
        <f t="shared" ref="L20:L22" si="16">+K20-J20</f>
        <v>0</v>
      </c>
    </row>
    <row r="21" spans="1:13" x14ac:dyDescent="0.2">
      <c r="A21" s="47" t="s">
        <v>156</v>
      </c>
      <c r="B21" s="119">
        <f>HLOOKUP($B$5,Datos,32,FALSE)</f>
        <v>0</v>
      </c>
      <c r="C21" s="119">
        <f>HLOOKUP($C$5,Datos,32,FALSE)</f>
        <v>0</v>
      </c>
      <c r="D21" s="120">
        <f t="shared" ref="D21:H21" si="17">HLOOKUP(D5,Datos,32,FALSE)</f>
        <v>9</v>
      </c>
      <c r="E21" s="120">
        <f t="shared" si="17"/>
        <v>0</v>
      </c>
      <c r="F21" s="120">
        <f>HLOOKUP(F5,Datos,32,FALSE)</f>
        <v>0</v>
      </c>
      <c r="G21" s="120">
        <f t="shared" si="17"/>
        <v>0</v>
      </c>
      <c r="H21" s="120">
        <f t="shared" si="17"/>
        <v>0</v>
      </c>
      <c r="I21" s="121">
        <f t="shared" si="15"/>
        <v>9</v>
      </c>
      <c r="J21" s="121">
        <v>0</v>
      </c>
      <c r="K21" s="121">
        <f>HLOOKUP($B$3,Stock_Real!$B$1:$BC$42,33,FALSE)</f>
        <v>0</v>
      </c>
      <c r="L21" s="122">
        <f t="shared" si="16"/>
        <v>0</v>
      </c>
    </row>
    <row r="22" spans="1:13" ht="16" thickBot="1" x14ac:dyDescent="0.25">
      <c r="A22" s="48" t="s">
        <v>92</v>
      </c>
      <c r="B22" s="49">
        <f>HLOOKUP($B$5,Datos,30,FALSE)</f>
        <v>0</v>
      </c>
      <c r="C22" s="50">
        <f t="shared" ref="C22:H22" si="18">HLOOKUP(C5,Datos,30,FALSE)</f>
        <v>0</v>
      </c>
      <c r="D22" s="50">
        <f t="shared" si="18"/>
        <v>0</v>
      </c>
      <c r="E22" s="50">
        <f>HLOOKUP(E5,Datos,30,FALSE)</f>
        <v>0</v>
      </c>
      <c r="F22" s="50">
        <f t="shared" si="18"/>
        <v>0</v>
      </c>
      <c r="G22" s="50">
        <f t="shared" si="18"/>
        <v>0</v>
      </c>
      <c r="H22" s="50">
        <f t="shared" si="18"/>
        <v>0</v>
      </c>
      <c r="I22" s="163">
        <f t="shared" si="15"/>
        <v>0</v>
      </c>
      <c r="J22" s="163">
        <f>SUMIFS(Produccion!B31:NI31,Fechas,"&gt;="&amp;$A$4,Fechas,"&lt;="&amp;$H$5)-SUMIFS(Ventas_Des!C31:BC31,SemanasVentas,"&gt;=1",SemanasVentas,"&lt;="&amp;$B$3)</f>
        <v>0</v>
      </c>
      <c r="K22" s="163">
        <f>HLOOKUP($B$3,Stock_Real!$B$1:$BC$42,31,FALSE)</f>
        <v>0</v>
      </c>
      <c r="L22" s="164">
        <f t="shared" si="16"/>
        <v>0</v>
      </c>
    </row>
    <row r="23" spans="1:13" x14ac:dyDescent="0.2">
      <c r="A23" s="44">
        <f>HLOOKUP(E5,Datos,28,FALSE)</f>
        <v>0</v>
      </c>
    </row>
    <row r="24" spans="1:13" ht="16" thickBot="1" x14ac:dyDescent="0.25">
      <c r="C24" s="120"/>
    </row>
    <row r="25" spans="1:13" ht="20" thickBot="1" x14ac:dyDescent="0.3">
      <c r="A25" s="35" t="s">
        <v>99</v>
      </c>
      <c r="B25" s="107">
        <v>12</v>
      </c>
      <c r="C25" s="51" t="str">
        <f>VLOOKUP(B25,Meses,2,FALSE)</f>
        <v>Diciembre</v>
      </c>
    </row>
    <row r="26" spans="1:13" ht="16" thickBot="1" x14ac:dyDescent="0.25">
      <c r="B26" s="37">
        <f>VLOOKUP(B25,Meses,3,FALSE)</f>
        <v>44531</v>
      </c>
      <c r="C26" s="37">
        <f>VLOOKUP(B25,Meses,4,FALSE)</f>
        <v>44561</v>
      </c>
    </row>
    <row r="27" spans="1:13" ht="21" thickBot="1" x14ac:dyDescent="0.3">
      <c r="A27" s="52" t="s">
        <v>100</v>
      </c>
      <c r="B27" s="52"/>
      <c r="C27" s="53">
        <f>SUMIFS(Produccion!B4:NI4,Fechas,"&gt;="&amp;Semanal!$B$26,Fechas,"&lt;="&amp;Semanal!$C$26)+365</f>
        <v>15747</v>
      </c>
    </row>
    <row r="28" spans="1:13" x14ac:dyDescent="0.2">
      <c r="A28" s="54" t="s">
        <v>101</v>
      </c>
      <c r="B28" s="55" t="s">
        <v>102</v>
      </c>
      <c r="C28" s="56">
        <f>SUMIFS(Produccion!B5:NI5,Fechas,"&gt;="&amp;Semanal!$B$26,Fechas,"&lt;="&amp;Semanal!$C$26)</f>
        <v>15226</v>
      </c>
    </row>
    <row r="29" spans="1:13" x14ac:dyDescent="0.2">
      <c r="A29" s="57" t="s">
        <v>103</v>
      </c>
      <c r="B29" s="58" t="s">
        <v>102</v>
      </c>
      <c r="C29" s="59">
        <f>SUMIFS(Produccion!B7:NI7,Fechas,"&gt;="&amp;Semanal!$B$26,Fechas,"&lt;="&amp;Semanal!$C$26)</f>
        <v>910</v>
      </c>
    </row>
    <row r="30" spans="1:13" x14ac:dyDescent="0.2">
      <c r="A30" s="57" t="s">
        <v>103</v>
      </c>
      <c r="B30" s="58" t="s">
        <v>104</v>
      </c>
      <c r="C30" s="60">
        <f>C29/C27</f>
        <v>5.7788785165428333E-2</v>
      </c>
    </row>
    <row r="31" spans="1:13" x14ac:dyDescent="0.2">
      <c r="A31" s="57" t="s">
        <v>105</v>
      </c>
      <c r="B31" s="58" t="s">
        <v>102</v>
      </c>
      <c r="C31" s="61">
        <f>SUMIFS(Produccion!B6:NI6,Fechas,"&gt;="&amp;Semanal!$B$26,Fechas,"&lt;="&amp;Semanal!$C$26)</f>
        <v>127</v>
      </c>
    </row>
    <row r="32" spans="1:13" x14ac:dyDescent="0.2">
      <c r="A32" s="57" t="s">
        <v>105</v>
      </c>
      <c r="B32" s="58" t="s">
        <v>104</v>
      </c>
      <c r="C32" s="62">
        <f>C31/C27</f>
        <v>8.065028259350987E-3</v>
      </c>
    </row>
    <row r="33" spans="1:3" x14ac:dyDescent="0.2">
      <c r="A33" s="57" t="s">
        <v>106</v>
      </c>
      <c r="B33" s="58" t="s">
        <v>107</v>
      </c>
      <c r="C33" s="59">
        <f>SUMIFS(Produccion!B11:NI11,Fechas,"&gt;="&amp;Semanal!$B$26,Fechas,"&lt;="&amp;Semanal!$C$26)</f>
        <v>10130</v>
      </c>
    </row>
    <row r="34" spans="1:3" x14ac:dyDescent="0.2">
      <c r="A34" s="57" t="s">
        <v>108</v>
      </c>
      <c r="B34" s="58" t="s">
        <v>107</v>
      </c>
      <c r="C34" s="59">
        <f>SUMIFS(Produccion!B12:NI12,Fechas,"&gt;="&amp;Semanal!$B$26,Fechas,"&lt;="&amp;Semanal!$C$26)</f>
        <v>3037</v>
      </c>
    </row>
    <row r="35" spans="1:3" x14ac:dyDescent="0.2">
      <c r="A35" s="57" t="s">
        <v>158</v>
      </c>
      <c r="B35" s="58" t="s">
        <v>107</v>
      </c>
      <c r="C35" s="59">
        <f>SUMIFS(Produccion!B13:NI13,Fechas,"&gt;="&amp;Semanal!$B$26,Fechas,"&lt;="&amp;Semanal!$C$26)</f>
        <v>7183</v>
      </c>
    </row>
    <row r="36" spans="1:3" x14ac:dyDescent="0.2">
      <c r="A36" s="57" t="s">
        <v>109</v>
      </c>
      <c r="B36" s="58" t="s">
        <v>107</v>
      </c>
      <c r="C36" s="59">
        <f>SUMIFS(Produccion!B14:NI14,Fechas,"&gt;="&amp;Semanal!$B$26,Fechas,"&lt;="&amp;Semanal!$C$26)</f>
        <v>1944</v>
      </c>
    </row>
    <row r="37" spans="1:3" x14ac:dyDescent="0.2">
      <c r="A37" s="57" t="s">
        <v>110</v>
      </c>
      <c r="B37" s="58" t="s">
        <v>107</v>
      </c>
      <c r="C37" s="59">
        <f>SUMIFS(Produccion!B17:NI17,Fechas,"&gt;="&amp;Semanal!$B$26,Fechas,"&lt;="&amp;Semanal!$C$26)</f>
        <v>2642</v>
      </c>
    </row>
    <row r="38" spans="1:3" x14ac:dyDescent="0.2">
      <c r="A38" s="57" t="s">
        <v>111</v>
      </c>
      <c r="B38" s="58" t="s">
        <v>107</v>
      </c>
      <c r="C38" s="59">
        <f>SUMIFS(Produccion!B18:NI18,Fechas,"&gt;="&amp;Semanal!$B$26,Fechas,"&lt;="&amp;Semanal!$C$26)</f>
        <v>671</v>
      </c>
    </row>
    <row r="39" spans="1:3" x14ac:dyDescent="0.2">
      <c r="A39" s="57" t="s">
        <v>134</v>
      </c>
      <c r="B39" s="58" t="s">
        <v>107</v>
      </c>
      <c r="C39" s="59">
        <f>SUMIFS(Produccion!B19:NI19,Fechas,"&gt;="&amp;Semanal!$B$26,Fechas,"&lt;="&amp;Semanal!$C$26)</f>
        <v>1782</v>
      </c>
    </row>
    <row r="40" spans="1:3" x14ac:dyDescent="0.2">
      <c r="A40" s="57" t="s">
        <v>138</v>
      </c>
      <c r="B40" s="58" t="s">
        <v>107</v>
      </c>
      <c r="C40" s="59">
        <f>SUMIFS(Produccion!B20:NI20,Fechas,"&gt;="&amp;Semanal!$B$26,Fechas,"&lt;="&amp;Semanal!$C$26)</f>
        <v>611</v>
      </c>
    </row>
    <row r="41" spans="1:3" x14ac:dyDescent="0.2">
      <c r="A41" s="57" t="s">
        <v>112</v>
      </c>
      <c r="B41" s="58" t="s">
        <v>107</v>
      </c>
      <c r="C41" s="59">
        <f>SUMIFS(Produccion!B23:NI23,Fechas,"&gt;="&amp;Semanal!$B$26,Fechas,"&lt;="&amp;Semanal!$C$26)</f>
        <v>321</v>
      </c>
    </row>
    <row r="42" spans="1:3" x14ac:dyDescent="0.2">
      <c r="A42" s="57" t="s">
        <v>113</v>
      </c>
      <c r="B42" s="58" t="s">
        <v>107</v>
      </c>
      <c r="C42" s="59">
        <v>0</v>
      </c>
    </row>
    <row r="43" spans="1:3" x14ac:dyDescent="0.2">
      <c r="A43" s="57" t="s">
        <v>114</v>
      </c>
      <c r="B43" s="58" t="s">
        <v>107</v>
      </c>
      <c r="C43" s="59">
        <f>SUMIFS(Produccion!B24:NI24,Fechas,"&gt;="&amp;Semanal!$B$26,Fechas,"&lt;="&amp;Semanal!$C$26)</f>
        <v>705</v>
      </c>
    </row>
    <row r="44" spans="1:3" x14ac:dyDescent="0.2">
      <c r="A44" s="57" t="s">
        <v>115</v>
      </c>
      <c r="B44" s="58" t="s">
        <v>102</v>
      </c>
      <c r="C44" s="172">
        <f>SUMIFS(Produccion!B26:NI26,Fechas,"&gt;="&amp;Semanal!$B$26,Fechas,"&lt;="&amp;Semanal!$C$26)+SUMIFS(Produccion!B29:NI29,Fechas,"&gt;="&amp;Semanal!$B$26,Fechas,"&lt;="&amp;Semanal!$C$26)</f>
        <v>4084</v>
      </c>
    </row>
    <row r="45" spans="1:3" x14ac:dyDescent="0.2">
      <c r="A45" s="63" t="s">
        <v>116</v>
      </c>
      <c r="B45" s="64" t="s">
        <v>117</v>
      </c>
      <c r="C45" s="61"/>
    </row>
    <row r="46" spans="1:3" ht="16" thickBot="1" x14ac:dyDescent="0.25">
      <c r="A46" s="65" t="s">
        <v>118</v>
      </c>
      <c r="B46" s="66" t="s">
        <v>117</v>
      </c>
      <c r="C46" s="67"/>
    </row>
    <row r="1011" spans="2:2" x14ac:dyDescent="0.2">
      <c r="B1011" s="34">
        <v>3</v>
      </c>
    </row>
    <row r="1251" spans="2:2" x14ac:dyDescent="0.2">
      <c r="B1251" s="34">
        <v>0</v>
      </c>
    </row>
  </sheetData>
  <sheetProtection algorithmName="SHA-512" hashValue="XCltLbinjUpQpqwusLSqNVvGpPsW745xPs+IpfSlKVMVfIdy4rL4KJ4dzejozG3qSEMBpXY00BwqAtGv19rX8g==" saltValue="jYJqxryrz544FdDntONPHA==" spinCount="100000" sheet="1" objects="1" scenarios="1"/>
  <mergeCells count="1">
    <mergeCell ref="A7:L7"/>
  </mergeCells>
  <conditionalFormatting sqref="L8:L22">
    <cfRule type="cellIs" dxfId="0" priority="2" operator="lessThan">
      <formula>0</formula>
    </cfRule>
  </conditionalFormatting>
  <pageMargins left="0.7" right="0.7" top="0.75" bottom="0.75" header="0.3" footer="0.3"/>
  <pageSetup orientation="portrait" horizontalDpi="4294967293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F408-48AD-4EF9-805B-813F26C7F9EA}">
  <dimension ref="A1:N37"/>
  <sheetViews>
    <sheetView workbookViewId="0">
      <selection activeCell="H11" sqref="H11"/>
    </sheetView>
  </sheetViews>
  <sheetFormatPr baseColWidth="10" defaultRowHeight="15" x14ac:dyDescent="0.2"/>
  <cols>
    <col min="1" max="1" width="25.33203125" customWidth="1"/>
    <col min="2" max="2" width="12" bestFit="1" customWidth="1"/>
    <col min="3" max="3" width="33.5" bestFit="1" customWidth="1"/>
    <col min="5" max="5" width="24.5" customWidth="1"/>
    <col min="6" max="6" width="11.5" style="153"/>
    <col min="8" max="8" width="14" bestFit="1" customWidth="1"/>
    <col min="9" max="10" width="14" customWidth="1"/>
    <col min="13" max="13" width="13" style="153" bestFit="1" customWidth="1"/>
  </cols>
  <sheetData>
    <row r="1" spans="1:14" x14ac:dyDescent="0.2">
      <c r="A1" t="s">
        <v>140</v>
      </c>
      <c r="E1" t="s">
        <v>150</v>
      </c>
      <c r="H1">
        <v>387</v>
      </c>
    </row>
    <row r="2" spans="1:14" ht="16" thickBot="1" x14ac:dyDescent="0.25">
      <c r="B2" t="s">
        <v>142</v>
      </c>
      <c r="C2" t="s">
        <v>85</v>
      </c>
      <c r="E2" t="s">
        <v>151</v>
      </c>
      <c r="G2" t="s">
        <v>153</v>
      </c>
    </row>
    <row r="3" spans="1:14" x14ac:dyDescent="0.2">
      <c r="A3" t="s">
        <v>141</v>
      </c>
      <c r="B3" s="141">
        <v>44197</v>
      </c>
      <c r="C3" s="155">
        <v>44377</v>
      </c>
      <c r="E3" s="20" t="s">
        <v>147</v>
      </c>
      <c r="F3" s="142" t="e">
        <f>+B8</f>
        <v>#VALUE!</v>
      </c>
    </row>
    <row r="4" spans="1:14" x14ac:dyDescent="0.2">
      <c r="E4" s="21" t="s">
        <v>148</v>
      </c>
      <c r="F4" s="143" t="e">
        <f>+B13+B19+B25+B31</f>
        <v>#VALUE!</v>
      </c>
    </row>
    <row r="5" spans="1:14" x14ac:dyDescent="0.2">
      <c r="D5">
        <v>8.5000000000000006E-2</v>
      </c>
      <c r="E5" s="18" t="s">
        <v>8</v>
      </c>
      <c r="F5" s="144" t="e">
        <f>+B15</f>
        <v>#VALUE!</v>
      </c>
      <c r="G5" s="153" t="e">
        <f t="shared" ref="G5:G6" si="0">+F5*D5</f>
        <v>#VALUE!</v>
      </c>
      <c r="H5" s="153">
        <f>IFERROR((G5/$B$10)*1,0)</f>
        <v>0</v>
      </c>
      <c r="I5" s="153">
        <f>+H5*$H$1</f>
        <v>0</v>
      </c>
      <c r="J5" s="153" t="e">
        <f>+I5/F5</f>
        <v>#VALUE!</v>
      </c>
      <c r="K5" s="154" t="e">
        <f>+H5/$H$18</f>
        <v>#DIV/0!</v>
      </c>
      <c r="L5" s="152" t="e">
        <f>+K5*$B$6</f>
        <v>#DIV/0!</v>
      </c>
      <c r="M5" s="153" t="e">
        <f>+L5*$H$1</f>
        <v>#DIV/0!</v>
      </c>
      <c r="N5" s="152" t="e">
        <f>+M5/F5</f>
        <v>#DIV/0!</v>
      </c>
    </row>
    <row r="6" spans="1:14" x14ac:dyDescent="0.2">
      <c r="A6" t="s">
        <v>143</v>
      </c>
      <c r="B6" s="153" t="e">
        <f>SUMIFS(Produccion!B5:NC5,Fechas,"&gt;="&amp;$B$3,Fechas,"&lt;="&amp;$C$3)</f>
        <v>#VALUE!</v>
      </c>
      <c r="C6" t="s">
        <v>145</v>
      </c>
      <c r="D6">
        <v>8.5000000000000006E-2</v>
      </c>
      <c r="E6" s="18" t="s">
        <v>9</v>
      </c>
      <c r="F6" s="144" t="e">
        <f t="shared" ref="F6:F8" si="1">+B16</f>
        <v>#VALUE!</v>
      </c>
      <c r="G6" s="153" t="e">
        <f t="shared" si="0"/>
        <v>#VALUE!</v>
      </c>
      <c r="H6" s="153">
        <f t="shared" ref="H6:H17" si="2">IFERROR((G6/$B$10)*1,0)</f>
        <v>0</v>
      </c>
      <c r="I6" s="153">
        <f t="shared" ref="I6:I17" si="3">+H6*$H$1</f>
        <v>0</v>
      </c>
      <c r="J6" s="153" t="e">
        <f t="shared" ref="J6:J17" si="4">+I6/F6</f>
        <v>#VALUE!</v>
      </c>
      <c r="K6" s="154" t="e">
        <f t="shared" ref="K6:K17" si="5">+H6/$H$18</f>
        <v>#DIV/0!</v>
      </c>
      <c r="L6" s="152" t="e">
        <f t="shared" ref="L6:L17" si="6">+K6*$B$6</f>
        <v>#DIV/0!</v>
      </c>
      <c r="M6" s="153" t="e">
        <f t="shared" ref="M6:M17" si="7">+L6*$H$1</f>
        <v>#DIV/0!</v>
      </c>
      <c r="N6" s="152" t="e">
        <f t="shared" ref="N6:N17" si="8">+M6/F6</f>
        <v>#DIV/0!</v>
      </c>
    </row>
    <row r="7" spans="1:14" x14ac:dyDescent="0.2">
      <c r="A7" t="s">
        <v>144</v>
      </c>
      <c r="B7" s="153" t="e">
        <f>+B8+B9</f>
        <v>#VALUE!</v>
      </c>
      <c r="C7" t="s">
        <v>146</v>
      </c>
      <c r="D7">
        <v>0.34</v>
      </c>
      <c r="E7" s="18" t="s">
        <v>10</v>
      </c>
      <c r="F7" s="144" t="e">
        <f t="shared" si="1"/>
        <v>#VALUE!</v>
      </c>
      <c r="G7" s="153" t="e">
        <f>+F7*D7</f>
        <v>#VALUE!</v>
      </c>
      <c r="H7" s="153">
        <f t="shared" si="2"/>
        <v>0</v>
      </c>
      <c r="I7" s="153">
        <f t="shared" si="3"/>
        <v>0</v>
      </c>
      <c r="J7" s="153" t="e">
        <f t="shared" si="4"/>
        <v>#VALUE!</v>
      </c>
      <c r="K7" s="154" t="e">
        <f t="shared" si="5"/>
        <v>#DIV/0!</v>
      </c>
      <c r="L7" s="152" t="e">
        <f t="shared" si="6"/>
        <v>#DIV/0!</v>
      </c>
      <c r="M7" s="153" t="e">
        <f t="shared" si="7"/>
        <v>#DIV/0!</v>
      </c>
      <c r="N7" s="152" t="e">
        <f t="shared" si="8"/>
        <v>#DIV/0!</v>
      </c>
    </row>
    <row r="8" spans="1:14" ht="16" thickBot="1" x14ac:dyDescent="0.25">
      <c r="A8" s="140" t="s">
        <v>147</v>
      </c>
      <c r="B8" s="153" t="e">
        <f>+B14+B20+B26+B32+B34</f>
        <v>#VALUE!</v>
      </c>
      <c r="D8">
        <v>0.34</v>
      </c>
      <c r="E8" s="22" t="s">
        <v>11</v>
      </c>
      <c r="F8" s="144" t="e">
        <f t="shared" si="1"/>
        <v>#VALUE!</v>
      </c>
      <c r="G8" s="153" t="e">
        <f>+F8*D8</f>
        <v>#VALUE!</v>
      </c>
      <c r="H8" s="153">
        <f t="shared" si="2"/>
        <v>0</v>
      </c>
      <c r="I8" s="153">
        <f t="shared" si="3"/>
        <v>0</v>
      </c>
      <c r="J8" s="153" t="e">
        <f t="shared" si="4"/>
        <v>#VALUE!</v>
      </c>
      <c r="K8" s="154" t="e">
        <f t="shared" si="5"/>
        <v>#DIV/0!</v>
      </c>
      <c r="L8" s="152" t="e">
        <f t="shared" si="6"/>
        <v>#DIV/0!</v>
      </c>
      <c r="M8" s="153" t="e">
        <f t="shared" si="7"/>
        <v>#DIV/0!</v>
      </c>
      <c r="N8" s="152" t="e">
        <f t="shared" si="8"/>
        <v>#DIV/0!</v>
      </c>
    </row>
    <row r="9" spans="1:14" x14ac:dyDescent="0.2">
      <c r="A9" s="140" t="s">
        <v>148</v>
      </c>
      <c r="B9" s="153" t="e">
        <f>SUMIFS(Produccion!B26:NC26,Fechas,"&gt;="&amp;$B$3,Fechas,"&lt;="&amp;$C$3)</f>
        <v>#VALUE!</v>
      </c>
      <c r="D9">
        <v>0.5</v>
      </c>
      <c r="E9" s="18" t="s">
        <v>12</v>
      </c>
      <c r="F9" s="144" t="e">
        <f>+B21</f>
        <v>#VALUE!</v>
      </c>
      <c r="G9" s="153" t="e">
        <f>+F9*D9</f>
        <v>#VALUE!</v>
      </c>
      <c r="H9" s="153">
        <f t="shared" si="2"/>
        <v>0</v>
      </c>
      <c r="I9" s="153">
        <f t="shared" si="3"/>
        <v>0</v>
      </c>
      <c r="J9" s="153" t="e">
        <f t="shared" si="4"/>
        <v>#VALUE!</v>
      </c>
      <c r="K9" s="154" t="e">
        <f t="shared" si="5"/>
        <v>#DIV/0!</v>
      </c>
      <c r="L9" s="152" t="e">
        <f t="shared" si="6"/>
        <v>#DIV/0!</v>
      </c>
      <c r="M9" s="153" t="e">
        <f t="shared" si="7"/>
        <v>#DIV/0!</v>
      </c>
      <c r="N9" s="152" t="e">
        <f t="shared" si="8"/>
        <v>#DIV/0!</v>
      </c>
    </row>
    <row r="10" spans="1:14" x14ac:dyDescent="0.2">
      <c r="A10" t="s">
        <v>152</v>
      </c>
      <c r="B10" s="154" t="e">
        <f>+B7/B6</f>
        <v>#VALUE!</v>
      </c>
      <c r="C10" s="153"/>
      <c r="D10">
        <v>0.23</v>
      </c>
      <c r="E10" s="18" t="s">
        <v>13</v>
      </c>
      <c r="F10" s="144" t="e">
        <f t="shared" ref="F10:F12" si="9">+B22</f>
        <v>#VALUE!</v>
      </c>
      <c r="G10" s="153" t="e">
        <f t="shared" ref="G10:G14" si="10">+F10*D10</f>
        <v>#VALUE!</v>
      </c>
      <c r="H10" s="153">
        <f t="shared" si="2"/>
        <v>0</v>
      </c>
      <c r="I10" s="153">
        <f t="shared" si="3"/>
        <v>0</v>
      </c>
      <c r="J10" s="153" t="e">
        <f t="shared" si="4"/>
        <v>#VALUE!</v>
      </c>
      <c r="K10" s="154" t="e">
        <f t="shared" si="5"/>
        <v>#DIV/0!</v>
      </c>
      <c r="L10" s="152" t="e">
        <f t="shared" si="6"/>
        <v>#DIV/0!</v>
      </c>
      <c r="M10" s="153" t="e">
        <f t="shared" si="7"/>
        <v>#DIV/0!</v>
      </c>
      <c r="N10" s="152" t="e">
        <f t="shared" si="8"/>
        <v>#DIV/0!</v>
      </c>
    </row>
    <row r="11" spans="1:14" x14ac:dyDescent="0.2">
      <c r="D11">
        <v>7.4999999999999997E-2</v>
      </c>
      <c r="E11" s="18" t="s">
        <v>133</v>
      </c>
      <c r="F11" s="144" t="e">
        <f t="shared" si="9"/>
        <v>#VALUE!</v>
      </c>
      <c r="G11" s="153" t="e">
        <f t="shared" si="10"/>
        <v>#VALUE!</v>
      </c>
      <c r="H11" s="153">
        <f t="shared" si="2"/>
        <v>0</v>
      </c>
      <c r="I11" s="153">
        <f t="shared" si="3"/>
        <v>0</v>
      </c>
      <c r="J11" s="153" t="e">
        <f t="shared" si="4"/>
        <v>#VALUE!</v>
      </c>
      <c r="K11" s="154" t="e">
        <f t="shared" si="5"/>
        <v>#DIV/0!</v>
      </c>
      <c r="L11" s="152" t="e">
        <f t="shared" si="6"/>
        <v>#DIV/0!</v>
      </c>
      <c r="M11" s="153" t="e">
        <f t="shared" si="7"/>
        <v>#DIV/0!</v>
      </c>
      <c r="N11" s="152" t="e">
        <f t="shared" si="8"/>
        <v>#DIV/0!</v>
      </c>
    </row>
    <row r="12" spans="1:14" ht="16" thickBot="1" x14ac:dyDescent="0.25">
      <c r="A12" t="s">
        <v>149</v>
      </c>
      <c r="D12">
        <v>0.23</v>
      </c>
      <c r="E12" s="103" t="s">
        <v>135</v>
      </c>
      <c r="F12" s="144" t="e">
        <f t="shared" si="9"/>
        <v>#VALUE!</v>
      </c>
      <c r="G12" s="153" t="e">
        <f t="shared" si="10"/>
        <v>#VALUE!</v>
      </c>
      <c r="H12" s="153">
        <f t="shared" si="2"/>
        <v>0</v>
      </c>
      <c r="I12" s="153">
        <f t="shared" si="3"/>
        <v>0</v>
      </c>
      <c r="J12" s="153" t="e">
        <f t="shared" si="4"/>
        <v>#VALUE!</v>
      </c>
      <c r="K12" s="154" t="e">
        <f t="shared" si="5"/>
        <v>#DIV/0!</v>
      </c>
      <c r="L12" s="152" t="e">
        <f t="shared" si="6"/>
        <v>#DIV/0!</v>
      </c>
      <c r="M12" s="153" t="e">
        <f t="shared" si="7"/>
        <v>#DIV/0!</v>
      </c>
      <c r="N12" s="152" t="e">
        <f t="shared" si="8"/>
        <v>#DIV/0!</v>
      </c>
    </row>
    <row r="13" spans="1:14" x14ac:dyDescent="0.2">
      <c r="A13" s="20" t="s">
        <v>6</v>
      </c>
      <c r="B13" s="142" t="e">
        <f>SUMIFS(Produccion!B9:NC9,Fechas,"&gt;="&amp;$B$3,Fechas,"&lt;="&amp;$C$3)</f>
        <v>#VALUE!</v>
      </c>
      <c r="D13">
        <v>0.63</v>
      </c>
      <c r="E13" s="18" t="s">
        <v>14</v>
      </c>
      <c r="F13" s="144" t="e">
        <f>+B27</f>
        <v>#VALUE!</v>
      </c>
      <c r="G13" s="153" t="e">
        <f t="shared" si="10"/>
        <v>#VALUE!</v>
      </c>
      <c r="H13" s="153">
        <f t="shared" si="2"/>
        <v>0</v>
      </c>
      <c r="I13" s="153">
        <f t="shared" si="3"/>
        <v>0</v>
      </c>
      <c r="J13" s="153" t="e">
        <f t="shared" si="4"/>
        <v>#VALUE!</v>
      </c>
      <c r="K13" s="154" t="e">
        <f t="shared" si="5"/>
        <v>#DIV/0!</v>
      </c>
      <c r="L13" s="152" t="e">
        <f t="shared" si="6"/>
        <v>#DIV/0!</v>
      </c>
      <c r="M13" s="153" t="e">
        <f t="shared" si="7"/>
        <v>#DIV/0!</v>
      </c>
      <c r="N13" s="152" t="e">
        <f t="shared" si="8"/>
        <v>#DIV/0!</v>
      </c>
    </row>
    <row r="14" spans="1:14" ht="16" thickBot="1" x14ac:dyDescent="0.25">
      <c r="A14" s="21" t="s">
        <v>7</v>
      </c>
      <c r="B14" s="143" t="e">
        <f>SUMIFS(Produccion!B10:NC10,Fechas,"&gt;="&amp;$B$3,Fechas,"&lt;="&amp;$C$3)</f>
        <v>#VALUE!</v>
      </c>
      <c r="D14">
        <v>0.22</v>
      </c>
      <c r="E14" s="25" t="s">
        <v>137</v>
      </c>
      <c r="F14" s="144" t="e">
        <f>+B28</f>
        <v>#VALUE!</v>
      </c>
      <c r="G14" s="153" t="e">
        <f t="shared" si="10"/>
        <v>#VALUE!</v>
      </c>
      <c r="H14" s="153">
        <f t="shared" si="2"/>
        <v>0</v>
      </c>
      <c r="I14" s="153">
        <f t="shared" si="3"/>
        <v>0</v>
      </c>
      <c r="J14" s="153" t="e">
        <f t="shared" si="4"/>
        <v>#VALUE!</v>
      </c>
      <c r="K14" s="154" t="e">
        <f t="shared" si="5"/>
        <v>#DIV/0!</v>
      </c>
      <c r="L14" s="152" t="e">
        <f t="shared" si="6"/>
        <v>#DIV/0!</v>
      </c>
      <c r="M14" s="153" t="e">
        <f t="shared" si="7"/>
        <v>#DIV/0!</v>
      </c>
      <c r="N14" s="152" t="e">
        <f t="shared" si="8"/>
        <v>#DIV/0!</v>
      </c>
    </row>
    <row r="15" spans="1:14" x14ac:dyDescent="0.2">
      <c r="A15" s="18" t="s">
        <v>8</v>
      </c>
      <c r="B15" s="144" t="e">
        <f>SUMIFS(Produccion!B11:NC11,Fechas,"&gt;="&amp;$B$3,Fechas,"&lt;="&amp;$C$3)</f>
        <v>#VALUE!</v>
      </c>
      <c r="E15" s="26" t="s">
        <v>19</v>
      </c>
      <c r="F15" s="150" t="e">
        <f>+B35</f>
        <v>#VALUE!</v>
      </c>
      <c r="G15" s="153"/>
      <c r="H15" s="153">
        <f t="shared" si="2"/>
        <v>0</v>
      </c>
      <c r="I15" s="153">
        <f t="shared" si="3"/>
        <v>0</v>
      </c>
      <c r="J15" s="153" t="e">
        <f t="shared" si="4"/>
        <v>#VALUE!</v>
      </c>
      <c r="K15" s="154" t="e">
        <f t="shared" si="5"/>
        <v>#DIV/0!</v>
      </c>
      <c r="L15" s="152" t="e">
        <f t="shared" si="6"/>
        <v>#DIV/0!</v>
      </c>
      <c r="M15" s="153" t="e">
        <f t="shared" si="7"/>
        <v>#DIV/0!</v>
      </c>
      <c r="N15" s="152" t="e">
        <f t="shared" si="8"/>
        <v>#DIV/0!</v>
      </c>
    </row>
    <row r="16" spans="1:14" x14ac:dyDescent="0.2">
      <c r="A16" s="18" t="s">
        <v>9</v>
      </c>
      <c r="B16" s="144" t="e">
        <f>SUMIFS(Produccion!B12:NC12,Fechas,"&gt;="&amp;$B$3,Fechas,"&lt;="&amp;$C$3)</f>
        <v>#VALUE!</v>
      </c>
      <c r="D16">
        <v>0.4</v>
      </c>
      <c r="E16" s="26" t="s">
        <v>154</v>
      </c>
      <c r="F16" s="150" t="e">
        <f t="shared" ref="F16:F17" si="11">+B36</f>
        <v>#VALUE!</v>
      </c>
      <c r="G16" s="153" t="e">
        <f>+F16*D16</f>
        <v>#VALUE!</v>
      </c>
      <c r="H16" s="153">
        <f t="shared" si="2"/>
        <v>0</v>
      </c>
      <c r="I16" s="153">
        <f t="shared" si="3"/>
        <v>0</v>
      </c>
      <c r="J16" s="153" t="e">
        <f t="shared" si="4"/>
        <v>#VALUE!</v>
      </c>
      <c r="K16" s="154" t="e">
        <f t="shared" si="5"/>
        <v>#DIV/0!</v>
      </c>
      <c r="L16" s="152" t="e">
        <f t="shared" si="6"/>
        <v>#DIV/0!</v>
      </c>
      <c r="M16" s="153" t="e">
        <f t="shared" si="7"/>
        <v>#DIV/0!</v>
      </c>
      <c r="N16" s="152" t="e">
        <f t="shared" si="8"/>
        <v>#DIV/0!</v>
      </c>
    </row>
    <row r="17" spans="1:14" ht="16" thickBot="1" x14ac:dyDescent="0.25">
      <c r="A17" s="18" t="s">
        <v>10</v>
      </c>
      <c r="B17" s="144" t="e">
        <f>SUMIFS(Produccion!B13:NC13,Fechas,"&gt;="&amp;$B$3,Fechas,"&lt;="&amp;$C$3)</f>
        <v>#VALUE!</v>
      </c>
      <c r="D17">
        <v>0.28599999999999998</v>
      </c>
      <c r="E17" s="16" t="s">
        <v>155</v>
      </c>
      <c r="F17" s="150" t="e">
        <f t="shared" si="11"/>
        <v>#VALUE!</v>
      </c>
      <c r="G17" s="153" t="e">
        <f>+F17*D17</f>
        <v>#VALUE!</v>
      </c>
      <c r="H17" s="153">
        <f t="shared" si="2"/>
        <v>0</v>
      </c>
      <c r="I17" s="153">
        <f t="shared" si="3"/>
        <v>0</v>
      </c>
      <c r="J17" s="153" t="e">
        <f t="shared" si="4"/>
        <v>#VALUE!</v>
      </c>
      <c r="K17" s="154" t="e">
        <f t="shared" si="5"/>
        <v>#DIV/0!</v>
      </c>
      <c r="L17" s="152" t="e">
        <f t="shared" si="6"/>
        <v>#DIV/0!</v>
      </c>
      <c r="M17" s="153" t="e">
        <f t="shared" si="7"/>
        <v>#DIV/0!</v>
      </c>
      <c r="N17" s="152" t="e">
        <f t="shared" si="8"/>
        <v>#DIV/0!</v>
      </c>
    </row>
    <row r="18" spans="1:14" ht="16" thickBot="1" x14ac:dyDescent="0.25">
      <c r="A18" s="22" t="s">
        <v>11</v>
      </c>
      <c r="B18" s="145" t="e">
        <f>SUMIFS(Produccion!B14:NC14,Fechas,"&gt;="&amp;$B$3,Fechas,"&lt;="&amp;$C$3)</f>
        <v>#VALUE!</v>
      </c>
      <c r="H18" s="152">
        <f>SUM(H5:H17)</f>
        <v>0</v>
      </c>
      <c r="I18" s="152"/>
      <c r="J18" s="152"/>
    </row>
    <row r="19" spans="1:14" x14ac:dyDescent="0.2">
      <c r="A19" s="23" t="s">
        <v>6</v>
      </c>
      <c r="B19" s="146" t="e">
        <f>SUMIFS(Produccion!B15:NC15,Fechas,"&gt;="&amp;$B$3,Fechas,"&lt;="&amp;$C$3)</f>
        <v>#VALUE!</v>
      </c>
    </row>
    <row r="20" spans="1:14" x14ac:dyDescent="0.2">
      <c r="A20" s="21" t="s">
        <v>7</v>
      </c>
      <c r="B20" s="143" t="e">
        <f>SUMIFS(Produccion!B16:NC16,Fechas,"&gt;="&amp;$B$3,Fechas,"&lt;="&amp;$C$3)</f>
        <v>#VALUE!</v>
      </c>
    </row>
    <row r="21" spans="1:14" x14ac:dyDescent="0.2">
      <c r="A21" s="18" t="s">
        <v>12</v>
      </c>
      <c r="B21" s="144" t="e">
        <f>SUMIFS(Produccion!B17:NC17,Fechas,"&gt;="&amp;$B$3,Fechas,"&lt;="&amp;$C$3)</f>
        <v>#VALUE!</v>
      </c>
    </row>
    <row r="22" spans="1:14" x14ac:dyDescent="0.2">
      <c r="A22" s="18" t="s">
        <v>13</v>
      </c>
      <c r="B22" s="144" t="e">
        <f>SUMIFS(Produccion!B18:NC18,Fechas,"&gt;="&amp;$B$3,Fechas,"&lt;="&amp;$C$3)</f>
        <v>#VALUE!</v>
      </c>
    </row>
    <row r="23" spans="1:14" x14ac:dyDescent="0.2">
      <c r="A23" s="18" t="s">
        <v>133</v>
      </c>
      <c r="B23" s="144" t="e">
        <f>SUMIFS(Produccion!B19:NC19,Fechas,"&gt;="&amp;$B$3,Fechas,"&lt;="&amp;$C$3)</f>
        <v>#VALUE!</v>
      </c>
    </row>
    <row r="24" spans="1:14" ht="16" thickBot="1" x14ac:dyDescent="0.25">
      <c r="A24" s="103" t="s">
        <v>135</v>
      </c>
      <c r="B24" s="147" t="e">
        <f>SUMIFS(Produccion!B20:NC20,Fechas,"&gt;="&amp;$B$3,Fechas,"&lt;="&amp;$C$3)</f>
        <v>#VALUE!</v>
      </c>
    </row>
    <row r="25" spans="1:14" x14ac:dyDescent="0.2">
      <c r="A25" s="20" t="s">
        <v>6</v>
      </c>
      <c r="B25" s="142" t="e">
        <f>SUMIFS(Produccion!B21:NC21,Fechas,"&gt;="&amp;$B$3,Fechas,"&lt;="&amp;$C$3)</f>
        <v>#VALUE!</v>
      </c>
    </row>
    <row r="26" spans="1:14" x14ac:dyDescent="0.2">
      <c r="A26" s="21" t="s">
        <v>7</v>
      </c>
      <c r="B26" s="143" t="e">
        <f>SUMIFS(Produccion!B22:NC22,Fechas,"&gt;="&amp;$B$3,Fechas,"&lt;="&amp;$C$3)</f>
        <v>#VALUE!</v>
      </c>
    </row>
    <row r="27" spans="1:14" x14ac:dyDescent="0.2">
      <c r="A27" s="18" t="s">
        <v>14</v>
      </c>
      <c r="B27" s="144" t="e">
        <f>SUMIFS(Produccion!B23:NC23,Fechas,"&gt;="&amp;$B$3,Fechas,"&lt;="&amp;$C$3)</f>
        <v>#VALUE!</v>
      </c>
    </row>
    <row r="28" spans="1:14" ht="16" thickBot="1" x14ac:dyDescent="0.25">
      <c r="A28" s="25" t="s">
        <v>137</v>
      </c>
      <c r="B28" s="148" t="e">
        <f>SUMIFS(Produccion!B24:NC24,Fechas,"&gt;="&amp;$B$3,Fechas,"&lt;="&amp;$C$3)</f>
        <v>#VALUE!</v>
      </c>
    </row>
    <row r="29" spans="1:14" x14ac:dyDescent="0.2">
      <c r="A29" s="23"/>
      <c r="B29" s="146" t="e">
        <f>SUMIFS(Produccion!B25:NC25,Fechas,"&gt;="&amp;$B$3,Fechas,"&lt;="&amp;$C$3)</f>
        <v>#VALUE!</v>
      </c>
    </row>
    <row r="30" spans="1:14" ht="16" thickBot="1" x14ac:dyDescent="0.25">
      <c r="A30" s="24" t="s">
        <v>91</v>
      </c>
      <c r="B30" s="149" t="e">
        <f>SUMIFS(Produccion!B26:NC26,Fechas,"&gt;="&amp;$B$3,Fechas,"&lt;="&amp;$C$3)</f>
        <v>#VALUE!</v>
      </c>
    </row>
    <row r="31" spans="1:14" x14ac:dyDescent="0.2">
      <c r="A31" s="20" t="s">
        <v>6</v>
      </c>
      <c r="B31" s="142" t="e">
        <f>SUMIFS(Produccion!B27:NC27,Fechas,"&gt;="&amp;$B$3,Fechas,"&lt;="&amp;$C$3)</f>
        <v>#VALUE!</v>
      </c>
    </row>
    <row r="32" spans="1:14" x14ac:dyDescent="0.2">
      <c r="A32" s="21" t="s">
        <v>7</v>
      </c>
      <c r="B32" s="143" t="e">
        <f>SUMIFS(Produccion!B28:NC28,Fechas,"&gt;="&amp;$B$3,Fechas,"&lt;="&amp;$C$3)</f>
        <v>#VALUE!</v>
      </c>
    </row>
    <row r="33" spans="1:2" ht="16" thickBot="1" x14ac:dyDescent="0.25">
      <c r="A33" s="24" t="s">
        <v>17</v>
      </c>
      <c r="B33" s="149" t="e">
        <f>SUMIFS(Produccion!B29:NC29,Fechas,"&gt;="&amp;$B$3,Fechas,"&lt;="&amp;$C$3)</f>
        <v>#VALUE!</v>
      </c>
    </row>
    <row r="34" spans="1:2" x14ac:dyDescent="0.2">
      <c r="A34" s="20" t="s">
        <v>18</v>
      </c>
      <c r="B34" s="142" t="e">
        <f>SUMIFS(Produccion!B30:NC30,Fechas,"&gt;="&amp;$B$3,Fechas,"&lt;="&amp;$C$3)</f>
        <v>#VALUE!</v>
      </c>
    </row>
    <row r="35" spans="1:2" x14ac:dyDescent="0.2">
      <c r="A35" s="26" t="s">
        <v>19</v>
      </c>
      <c r="B35" s="150" t="e">
        <f>SUMIFS(Produccion!B31:NC31,Fechas,"&gt;="&amp;$B$3,Fechas,"&lt;="&amp;$C$3)</f>
        <v>#VALUE!</v>
      </c>
    </row>
    <row r="36" spans="1:2" x14ac:dyDescent="0.2">
      <c r="A36" s="26" t="s">
        <v>20</v>
      </c>
      <c r="B36" s="150" t="e">
        <f>SUMIFS(Produccion!B32:NC32,Fechas,"&gt;="&amp;$B$3,Fechas,"&lt;="&amp;$C$3)</f>
        <v>#VALUE!</v>
      </c>
    </row>
    <row r="37" spans="1:2" ht="16" thickBot="1" x14ac:dyDescent="0.25">
      <c r="A37" s="16" t="s">
        <v>21</v>
      </c>
      <c r="B37" s="151" t="e">
        <f>SUMIFS(Produccion!B33:NC33,Fechas,"&gt;="&amp;$B$3,Fechas,"&lt;="&amp;$C$3)</f>
        <v>#VALUE!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AS69"/>
  <sheetViews>
    <sheetView topLeftCell="AN44" workbookViewId="0">
      <selection activeCell="AO58" sqref="AO58:AR69"/>
    </sheetView>
  </sheetViews>
  <sheetFormatPr baseColWidth="10" defaultRowHeight="15" x14ac:dyDescent="0.2"/>
  <sheetData>
    <row r="1" spans="1:45" x14ac:dyDescent="0.2">
      <c r="A1" s="262" t="s">
        <v>81</v>
      </c>
      <c r="B1" s="262"/>
      <c r="C1" s="262"/>
      <c r="D1" s="28"/>
      <c r="E1" s="262" t="s">
        <v>82</v>
      </c>
      <c r="F1" s="262"/>
      <c r="G1" s="262"/>
      <c r="H1" s="109"/>
      <c r="I1" s="262" t="s">
        <v>132</v>
      </c>
      <c r="J1" s="262"/>
      <c r="K1" s="262"/>
      <c r="M1" s="262" t="s">
        <v>136</v>
      </c>
      <c r="N1" s="262"/>
      <c r="O1" s="262"/>
      <c r="Q1" s="262" t="s">
        <v>161</v>
      </c>
      <c r="R1" s="262"/>
      <c r="S1" s="262"/>
      <c r="U1" s="262" t="s">
        <v>165</v>
      </c>
      <c r="V1" s="262"/>
      <c r="W1" s="262"/>
      <c r="Y1" s="263" t="s">
        <v>170</v>
      </c>
      <c r="Z1" s="263"/>
      <c r="AA1" s="263"/>
      <c r="AC1" s="263" t="s">
        <v>177</v>
      </c>
      <c r="AD1" s="263"/>
      <c r="AE1" s="263"/>
      <c r="AG1" s="263" t="s">
        <v>178</v>
      </c>
      <c r="AH1" s="263"/>
      <c r="AI1" s="263"/>
      <c r="AO1" s="262" t="s">
        <v>131</v>
      </c>
      <c r="AP1" s="262"/>
      <c r="AQ1" s="29" t="s">
        <v>84</v>
      </c>
      <c r="AR1" s="29" t="s">
        <v>85</v>
      </c>
    </row>
    <row r="2" spans="1:45" x14ac:dyDescent="0.2">
      <c r="A2" s="29" t="s">
        <v>83</v>
      </c>
      <c r="B2" s="29" t="s">
        <v>84</v>
      </c>
      <c r="C2" s="29" t="s">
        <v>85</v>
      </c>
      <c r="D2" s="28"/>
      <c r="E2" s="29" t="s">
        <v>83</v>
      </c>
      <c r="F2" s="29" t="s">
        <v>84</v>
      </c>
      <c r="G2" s="29" t="s">
        <v>85</v>
      </c>
      <c r="H2" s="109"/>
      <c r="I2" s="29" t="s">
        <v>83</v>
      </c>
      <c r="J2" s="29" t="s">
        <v>84</v>
      </c>
      <c r="K2" s="29" t="s">
        <v>85</v>
      </c>
      <c r="M2" s="29" t="s">
        <v>83</v>
      </c>
      <c r="N2" s="29" t="s">
        <v>84</v>
      </c>
      <c r="O2" s="29" t="s">
        <v>85</v>
      </c>
      <c r="Q2" s="29" t="s">
        <v>83</v>
      </c>
      <c r="R2" s="29" t="s">
        <v>84</v>
      </c>
      <c r="S2" s="29" t="s">
        <v>85</v>
      </c>
      <c r="U2" s="29" t="s">
        <v>83</v>
      </c>
      <c r="V2" s="29" t="s">
        <v>84</v>
      </c>
      <c r="W2" s="29" t="s">
        <v>85</v>
      </c>
      <c r="Y2" s="196" t="s">
        <v>83</v>
      </c>
      <c r="Z2" s="196" t="s">
        <v>84</v>
      </c>
      <c r="AA2" s="196" t="s">
        <v>85</v>
      </c>
      <c r="AC2" s="196" t="s">
        <v>83</v>
      </c>
      <c r="AD2" s="196" t="s">
        <v>84</v>
      </c>
      <c r="AE2" s="196" t="s">
        <v>85</v>
      </c>
      <c r="AG2" s="196" t="s">
        <v>83</v>
      </c>
      <c r="AH2" s="196" t="s">
        <v>84</v>
      </c>
      <c r="AI2" s="196" t="s">
        <v>85</v>
      </c>
      <c r="AO2" s="29">
        <v>1</v>
      </c>
      <c r="AP2" s="29" t="s">
        <v>119</v>
      </c>
      <c r="AQ2" s="30">
        <v>44197</v>
      </c>
      <c r="AR2" s="30">
        <v>44227</v>
      </c>
    </row>
    <row r="3" spans="1:45" x14ac:dyDescent="0.2">
      <c r="A3" s="31">
        <v>1</v>
      </c>
      <c r="B3" s="30">
        <v>43101</v>
      </c>
      <c r="C3" s="30">
        <v>43107</v>
      </c>
      <c r="D3" s="28"/>
      <c r="E3" s="31">
        <v>1</v>
      </c>
      <c r="F3" s="30">
        <v>43465</v>
      </c>
      <c r="G3" s="30">
        <v>43471</v>
      </c>
      <c r="H3" s="108"/>
      <c r="I3" s="31">
        <v>1</v>
      </c>
      <c r="J3" s="30">
        <v>43829</v>
      </c>
      <c r="K3" s="30">
        <v>43835</v>
      </c>
      <c r="M3" s="31">
        <v>1</v>
      </c>
      <c r="N3" s="30">
        <v>44193</v>
      </c>
      <c r="O3" s="30">
        <f>+N3+6</f>
        <v>44199</v>
      </c>
      <c r="Q3" s="31">
        <v>1</v>
      </c>
      <c r="R3" s="30">
        <v>44564</v>
      </c>
      <c r="S3" s="30">
        <f>+R3+6</f>
        <v>44570</v>
      </c>
      <c r="U3" s="31">
        <v>1</v>
      </c>
      <c r="V3" s="30">
        <f>+S54+1</f>
        <v>44928</v>
      </c>
      <c r="W3" s="30">
        <f>+V3+6</f>
        <v>44934</v>
      </c>
      <c r="Y3" s="197">
        <v>1</v>
      </c>
      <c r="Z3" s="198">
        <f>+W54+1</f>
        <v>45292</v>
      </c>
      <c r="AA3" s="198">
        <f>+Z3+6</f>
        <v>45298</v>
      </c>
      <c r="AC3" s="197">
        <v>1</v>
      </c>
      <c r="AD3" s="198">
        <f>+AA54+1</f>
        <v>45656</v>
      </c>
      <c r="AE3" s="198">
        <f>+AD3+6</f>
        <v>45662</v>
      </c>
      <c r="AG3" s="197">
        <v>1</v>
      </c>
      <c r="AH3" s="198">
        <f>+AE54+1</f>
        <v>46020</v>
      </c>
      <c r="AI3" s="198">
        <f>+AH3+6</f>
        <v>46026</v>
      </c>
      <c r="AO3" s="29">
        <v>2</v>
      </c>
      <c r="AP3" s="29" t="s">
        <v>120</v>
      </c>
      <c r="AQ3" s="30">
        <v>44228</v>
      </c>
      <c r="AR3" s="30">
        <v>44255</v>
      </c>
    </row>
    <row r="4" spans="1:45" x14ac:dyDescent="0.2">
      <c r="A4" s="31">
        <v>2</v>
      </c>
      <c r="B4" s="30">
        <v>43108</v>
      </c>
      <c r="C4" s="30">
        <v>43114</v>
      </c>
      <c r="D4" s="28"/>
      <c r="E4" s="31">
        <v>2</v>
      </c>
      <c r="F4" s="30">
        <v>43472</v>
      </c>
      <c r="G4" s="30">
        <v>43478</v>
      </c>
      <c r="H4" s="108"/>
      <c r="I4" s="31">
        <v>2</v>
      </c>
      <c r="J4" s="30">
        <f>K3+1</f>
        <v>43836</v>
      </c>
      <c r="K4" s="30">
        <f>J4+6</f>
        <v>43842</v>
      </c>
      <c r="M4" s="31">
        <v>2</v>
      </c>
      <c r="N4" s="30">
        <f>O3+1</f>
        <v>44200</v>
      </c>
      <c r="O4" s="30">
        <f>N4+6</f>
        <v>44206</v>
      </c>
      <c r="Q4" s="31">
        <v>2</v>
      </c>
      <c r="R4" s="30">
        <f>S3+1</f>
        <v>44571</v>
      </c>
      <c r="S4" s="30">
        <f>R4+6</f>
        <v>44577</v>
      </c>
      <c r="U4" s="31">
        <v>2</v>
      </c>
      <c r="V4" s="30">
        <f>+W3+1</f>
        <v>44935</v>
      </c>
      <c r="W4" s="30">
        <f>+V4+6</f>
        <v>44941</v>
      </c>
      <c r="Y4" s="197">
        <v>2</v>
      </c>
      <c r="Z4" s="198">
        <f>+AA3+1</f>
        <v>45299</v>
      </c>
      <c r="AA4" s="198">
        <f>+Z4+6</f>
        <v>45305</v>
      </c>
      <c r="AC4" s="197">
        <v>2</v>
      </c>
      <c r="AD4" s="198">
        <f>+AE3+1</f>
        <v>45663</v>
      </c>
      <c r="AE4" s="198">
        <f>+AD4+6</f>
        <v>45669</v>
      </c>
      <c r="AG4" s="197">
        <v>2</v>
      </c>
      <c r="AH4" s="198">
        <f>+AI3+1</f>
        <v>46027</v>
      </c>
      <c r="AI4" s="198">
        <f>+AH4+6</f>
        <v>46033</v>
      </c>
      <c r="AO4" s="29">
        <v>3</v>
      </c>
      <c r="AP4" s="29" t="s">
        <v>121</v>
      </c>
      <c r="AQ4" s="30">
        <v>44256</v>
      </c>
      <c r="AR4" s="30">
        <v>44286</v>
      </c>
    </row>
    <row r="5" spans="1:45" x14ac:dyDescent="0.2">
      <c r="A5" s="31">
        <v>3</v>
      </c>
      <c r="B5" s="30">
        <v>43115</v>
      </c>
      <c r="C5" s="30">
        <v>43121</v>
      </c>
      <c r="D5" s="28"/>
      <c r="E5" s="31">
        <v>3</v>
      </c>
      <c r="F5" s="30">
        <v>43479</v>
      </c>
      <c r="G5" s="30">
        <v>43485</v>
      </c>
      <c r="H5" s="108"/>
      <c r="I5" s="31">
        <v>3</v>
      </c>
      <c r="J5" s="30">
        <f t="shared" ref="J5:J54" si="0">K4+1</f>
        <v>43843</v>
      </c>
      <c r="K5" s="30">
        <f t="shared" ref="K5:K54" si="1">J5+6</f>
        <v>43849</v>
      </c>
      <c r="M5" s="31">
        <v>3</v>
      </c>
      <c r="N5" s="30">
        <f t="shared" ref="N5:N54" si="2">O4+1</f>
        <v>44207</v>
      </c>
      <c r="O5" s="30">
        <f t="shared" ref="O5:O54" si="3">N5+6</f>
        <v>44213</v>
      </c>
      <c r="Q5" s="31">
        <v>3</v>
      </c>
      <c r="R5" s="30">
        <f t="shared" ref="R5:R54" si="4">S4+1</f>
        <v>44578</v>
      </c>
      <c r="S5" s="30">
        <f t="shared" ref="S5:S54" si="5">R5+6</f>
        <v>44584</v>
      </c>
      <c r="U5" s="31">
        <v>3</v>
      </c>
      <c r="V5" s="30">
        <f t="shared" ref="V5:V54" si="6">+W4+1</f>
        <v>44942</v>
      </c>
      <c r="W5" s="30">
        <f t="shared" ref="W5:W54" si="7">+V5+6</f>
        <v>44948</v>
      </c>
      <c r="Y5" s="197">
        <v>3</v>
      </c>
      <c r="Z5" s="198">
        <f t="shared" ref="Z5:Z54" si="8">+AA4+1</f>
        <v>45306</v>
      </c>
      <c r="AA5" s="198">
        <f t="shared" ref="AA5:AA54" si="9">+Z5+6</f>
        <v>45312</v>
      </c>
      <c r="AC5" s="197">
        <v>3</v>
      </c>
      <c r="AD5" s="198">
        <f t="shared" ref="AD5:AD54" si="10">+AE4+1</f>
        <v>45670</v>
      </c>
      <c r="AE5" s="198">
        <f t="shared" ref="AE5:AE54" si="11">+AD5+6</f>
        <v>45676</v>
      </c>
      <c r="AG5" s="197">
        <v>3</v>
      </c>
      <c r="AH5" s="198">
        <f t="shared" ref="AH5:AH54" si="12">+AI4+1</f>
        <v>46034</v>
      </c>
      <c r="AI5" s="198">
        <f t="shared" ref="AI5:AI54" si="13">+AH5+6</f>
        <v>46040</v>
      </c>
      <c r="AO5" s="29">
        <v>4</v>
      </c>
      <c r="AP5" s="29" t="s">
        <v>122</v>
      </c>
      <c r="AQ5" s="30">
        <v>44287</v>
      </c>
      <c r="AR5" s="30">
        <v>44316</v>
      </c>
    </row>
    <row r="6" spans="1:45" x14ac:dyDescent="0.2">
      <c r="A6" s="31">
        <v>4</v>
      </c>
      <c r="B6" s="30">
        <v>43122</v>
      </c>
      <c r="C6" s="30">
        <v>43128</v>
      </c>
      <c r="D6" s="28"/>
      <c r="E6" s="31">
        <v>4</v>
      </c>
      <c r="F6" s="30">
        <v>43486</v>
      </c>
      <c r="G6" s="30">
        <v>43492</v>
      </c>
      <c r="H6" s="108"/>
      <c r="I6" s="31">
        <v>4</v>
      </c>
      <c r="J6" s="30">
        <f t="shared" si="0"/>
        <v>43850</v>
      </c>
      <c r="K6" s="30">
        <f t="shared" si="1"/>
        <v>43856</v>
      </c>
      <c r="M6" s="31">
        <v>4</v>
      </c>
      <c r="N6" s="30">
        <f t="shared" si="2"/>
        <v>44214</v>
      </c>
      <c r="O6" s="30">
        <f t="shared" si="3"/>
        <v>44220</v>
      </c>
      <c r="Q6" s="31">
        <v>4</v>
      </c>
      <c r="R6" s="30">
        <f t="shared" si="4"/>
        <v>44585</v>
      </c>
      <c r="S6" s="30">
        <f t="shared" si="5"/>
        <v>44591</v>
      </c>
      <c r="U6" s="31">
        <v>4</v>
      </c>
      <c r="V6" s="30">
        <f t="shared" si="6"/>
        <v>44949</v>
      </c>
      <c r="W6" s="30">
        <f t="shared" si="7"/>
        <v>44955</v>
      </c>
      <c r="Y6" s="197">
        <v>4</v>
      </c>
      <c r="Z6" s="198">
        <f t="shared" si="8"/>
        <v>45313</v>
      </c>
      <c r="AA6" s="198">
        <f t="shared" si="9"/>
        <v>45319</v>
      </c>
      <c r="AC6" s="197">
        <v>4</v>
      </c>
      <c r="AD6" s="198">
        <f t="shared" si="10"/>
        <v>45677</v>
      </c>
      <c r="AE6" s="198">
        <f t="shared" si="11"/>
        <v>45683</v>
      </c>
      <c r="AG6" s="197">
        <v>4</v>
      </c>
      <c r="AH6" s="198">
        <f t="shared" si="12"/>
        <v>46041</v>
      </c>
      <c r="AI6" s="198">
        <f t="shared" si="13"/>
        <v>46047</v>
      </c>
      <c r="AO6" s="29">
        <v>5</v>
      </c>
      <c r="AP6" s="29" t="s">
        <v>123</v>
      </c>
      <c r="AQ6" s="30">
        <v>44317</v>
      </c>
      <c r="AR6" s="30">
        <v>44347</v>
      </c>
    </row>
    <row r="7" spans="1:45" x14ac:dyDescent="0.2">
      <c r="A7" s="31">
        <v>5</v>
      </c>
      <c r="B7" s="30">
        <v>43129</v>
      </c>
      <c r="C7" s="30">
        <v>43135</v>
      </c>
      <c r="D7" s="28"/>
      <c r="E7" s="31">
        <v>5</v>
      </c>
      <c r="F7" s="30">
        <v>43493</v>
      </c>
      <c r="G7" s="30">
        <v>43499</v>
      </c>
      <c r="H7" s="108"/>
      <c r="I7" s="31">
        <v>5</v>
      </c>
      <c r="J7" s="30">
        <f t="shared" si="0"/>
        <v>43857</v>
      </c>
      <c r="K7" s="30">
        <f t="shared" si="1"/>
        <v>43863</v>
      </c>
      <c r="M7" s="31">
        <v>5</v>
      </c>
      <c r="N7" s="30">
        <f t="shared" si="2"/>
        <v>44221</v>
      </c>
      <c r="O7" s="30">
        <f t="shared" si="3"/>
        <v>44227</v>
      </c>
      <c r="Q7" s="31">
        <v>5</v>
      </c>
      <c r="R7" s="30">
        <f t="shared" si="4"/>
        <v>44592</v>
      </c>
      <c r="S7" s="30">
        <f t="shared" si="5"/>
        <v>44598</v>
      </c>
      <c r="U7" s="31">
        <v>5</v>
      </c>
      <c r="V7" s="30">
        <f t="shared" si="6"/>
        <v>44956</v>
      </c>
      <c r="W7" s="30">
        <f t="shared" si="7"/>
        <v>44962</v>
      </c>
      <c r="Y7" s="197">
        <v>5</v>
      </c>
      <c r="Z7" s="198">
        <f t="shared" si="8"/>
        <v>45320</v>
      </c>
      <c r="AA7" s="198">
        <f t="shared" si="9"/>
        <v>45326</v>
      </c>
      <c r="AC7" s="197">
        <v>5</v>
      </c>
      <c r="AD7" s="198">
        <f t="shared" si="10"/>
        <v>45684</v>
      </c>
      <c r="AE7" s="198">
        <f t="shared" si="11"/>
        <v>45690</v>
      </c>
      <c r="AG7" s="197">
        <v>5</v>
      </c>
      <c r="AH7" s="198">
        <f t="shared" si="12"/>
        <v>46048</v>
      </c>
      <c r="AI7" s="198">
        <f t="shared" si="13"/>
        <v>46054</v>
      </c>
      <c r="AO7" s="29">
        <v>6</v>
      </c>
      <c r="AP7" s="29" t="s">
        <v>124</v>
      </c>
      <c r="AQ7" s="30">
        <v>44348</v>
      </c>
      <c r="AR7" s="30">
        <v>44377</v>
      </c>
    </row>
    <row r="8" spans="1:45" x14ac:dyDescent="0.2">
      <c r="A8" s="31">
        <v>6</v>
      </c>
      <c r="B8" s="30">
        <v>43136</v>
      </c>
      <c r="C8" s="30">
        <v>43142</v>
      </c>
      <c r="D8" s="28"/>
      <c r="E8" s="31">
        <v>6</v>
      </c>
      <c r="F8" s="30">
        <v>43500</v>
      </c>
      <c r="G8" s="30">
        <v>43506</v>
      </c>
      <c r="H8" s="108"/>
      <c r="I8" s="31">
        <v>6</v>
      </c>
      <c r="J8" s="30">
        <f t="shared" si="0"/>
        <v>43864</v>
      </c>
      <c r="K8" s="30">
        <f t="shared" si="1"/>
        <v>43870</v>
      </c>
      <c r="M8" s="31">
        <v>6</v>
      </c>
      <c r="N8" s="30">
        <f t="shared" si="2"/>
        <v>44228</v>
      </c>
      <c r="O8" s="30">
        <f t="shared" si="3"/>
        <v>44234</v>
      </c>
      <c r="Q8" s="31">
        <v>6</v>
      </c>
      <c r="R8" s="30">
        <f t="shared" si="4"/>
        <v>44599</v>
      </c>
      <c r="S8" s="30">
        <f t="shared" si="5"/>
        <v>44605</v>
      </c>
      <c r="U8" s="31">
        <v>6</v>
      </c>
      <c r="V8" s="30">
        <f t="shared" si="6"/>
        <v>44963</v>
      </c>
      <c r="W8" s="30">
        <f t="shared" si="7"/>
        <v>44969</v>
      </c>
      <c r="Y8" s="197">
        <v>6</v>
      </c>
      <c r="Z8" s="198">
        <f t="shared" si="8"/>
        <v>45327</v>
      </c>
      <c r="AA8" s="198">
        <f t="shared" si="9"/>
        <v>45333</v>
      </c>
      <c r="AC8" s="197">
        <v>6</v>
      </c>
      <c r="AD8" s="198">
        <f t="shared" si="10"/>
        <v>45691</v>
      </c>
      <c r="AE8" s="198">
        <f t="shared" si="11"/>
        <v>45697</v>
      </c>
      <c r="AG8" s="197">
        <v>6</v>
      </c>
      <c r="AH8" s="198">
        <f t="shared" si="12"/>
        <v>46055</v>
      </c>
      <c r="AI8" s="198">
        <f t="shared" si="13"/>
        <v>46061</v>
      </c>
      <c r="AO8" s="29">
        <v>7</v>
      </c>
      <c r="AP8" s="29" t="s">
        <v>125</v>
      </c>
      <c r="AQ8" s="30">
        <v>44378</v>
      </c>
      <c r="AR8" s="30">
        <v>44408</v>
      </c>
      <c r="AS8" s="33"/>
    </row>
    <row r="9" spans="1:45" x14ac:dyDescent="0.2">
      <c r="A9" s="31">
        <v>7</v>
      </c>
      <c r="B9" s="30">
        <v>43143</v>
      </c>
      <c r="C9" s="30">
        <v>43149</v>
      </c>
      <c r="D9" s="28"/>
      <c r="E9" s="31">
        <v>7</v>
      </c>
      <c r="F9" s="30">
        <v>43507</v>
      </c>
      <c r="G9" s="30">
        <v>43513</v>
      </c>
      <c r="H9" s="108"/>
      <c r="I9" s="31">
        <v>7</v>
      </c>
      <c r="J9" s="30">
        <f t="shared" si="0"/>
        <v>43871</v>
      </c>
      <c r="K9" s="30">
        <f t="shared" si="1"/>
        <v>43877</v>
      </c>
      <c r="M9" s="31">
        <v>7</v>
      </c>
      <c r="N9" s="30">
        <f t="shared" si="2"/>
        <v>44235</v>
      </c>
      <c r="O9" s="30">
        <f t="shared" si="3"/>
        <v>44241</v>
      </c>
      <c r="Q9" s="31">
        <v>7</v>
      </c>
      <c r="R9" s="30">
        <f t="shared" si="4"/>
        <v>44606</v>
      </c>
      <c r="S9" s="30">
        <f t="shared" si="5"/>
        <v>44612</v>
      </c>
      <c r="U9" s="31">
        <v>7</v>
      </c>
      <c r="V9" s="30">
        <f t="shared" si="6"/>
        <v>44970</v>
      </c>
      <c r="W9" s="30">
        <f t="shared" si="7"/>
        <v>44976</v>
      </c>
      <c r="Y9" s="197">
        <v>7</v>
      </c>
      <c r="Z9" s="198">
        <f t="shared" si="8"/>
        <v>45334</v>
      </c>
      <c r="AA9" s="198">
        <f t="shared" si="9"/>
        <v>45340</v>
      </c>
      <c r="AC9" s="197">
        <v>7</v>
      </c>
      <c r="AD9" s="198">
        <f t="shared" si="10"/>
        <v>45698</v>
      </c>
      <c r="AE9" s="198">
        <f t="shared" si="11"/>
        <v>45704</v>
      </c>
      <c r="AG9" s="197">
        <v>7</v>
      </c>
      <c r="AH9" s="198">
        <f t="shared" si="12"/>
        <v>46062</v>
      </c>
      <c r="AI9" s="198">
        <f t="shared" si="13"/>
        <v>46068</v>
      </c>
      <c r="AO9" s="29">
        <v>8</v>
      </c>
      <c r="AP9" s="29" t="s">
        <v>126</v>
      </c>
      <c r="AQ9" s="30">
        <v>44409</v>
      </c>
      <c r="AR9" s="30">
        <v>44439</v>
      </c>
    </row>
    <row r="10" spans="1:45" x14ac:dyDescent="0.2">
      <c r="A10" s="31">
        <v>8</v>
      </c>
      <c r="B10" s="30">
        <v>43150</v>
      </c>
      <c r="C10" s="30">
        <v>43156</v>
      </c>
      <c r="D10" s="28"/>
      <c r="E10" s="31">
        <v>8</v>
      </c>
      <c r="F10" s="30">
        <v>43514</v>
      </c>
      <c r="G10" s="30">
        <v>43520</v>
      </c>
      <c r="H10" s="108"/>
      <c r="I10" s="31">
        <v>8</v>
      </c>
      <c r="J10" s="30">
        <f t="shared" si="0"/>
        <v>43878</v>
      </c>
      <c r="K10" s="30">
        <f t="shared" si="1"/>
        <v>43884</v>
      </c>
      <c r="M10" s="31">
        <v>8</v>
      </c>
      <c r="N10" s="30">
        <f t="shared" si="2"/>
        <v>44242</v>
      </c>
      <c r="O10" s="30">
        <f t="shared" si="3"/>
        <v>44248</v>
      </c>
      <c r="Q10" s="31">
        <v>8</v>
      </c>
      <c r="R10" s="30">
        <f t="shared" si="4"/>
        <v>44613</v>
      </c>
      <c r="S10" s="30">
        <f t="shared" si="5"/>
        <v>44619</v>
      </c>
      <c r="U10" s="31">
        <v>8</v>
      </c>
      <c r="V10" s="30">
        <f t="shared" si="6"/>
        <v>44977</v>
      </c>
      <c r="W10" s="30">
        <f t="shared" si="7"/>
        <v>44983</v>
      </c>
      <c r="Y10" s="197">
        <v>8</v>
      </c>
      <c r="Z10" s="198">
        <f t="shared" si="8"/>
        <v>45341</v>
      </c>
      <c r="AA10" s="198">
        <f t="shared" si="9"/>
        <v>45347</v>
      </c>
      <c r="AC10" s="197">
        <v>8</v>
      </c>
      <c r="AD10" s="198">
        <f t="shared" si="10"/>
        <v>45705</v>
      </c>
      <c r="AE10" s="198">
        <f t="shared" si="11"/>
        <v>45711</v>
      </c>
      <c r="AG10" s="197">
        <v>8</v>
      </c>
      <c r="AH10" s="198">
        <f t="shared" si="12"/>
        <v>46069</v>
      </c>
      <c r="AI10" s="198">
        <f t="shared" si="13"/>
        <v>46075</v>
      </c>
      <c r="AO10" s="29">
        <v>9</v>
      </c>
      <c r="AP10" s="29" t="s">
        <v>127</v>
      </c>
      <c r="AQ10" s="30">
        <v>44440</v>
      </c>
      <c r="AR10" s="30">
        <v>44469</v>
      </c>
    </row>
    <row r="11" spans="1:45" x14ac:dyDescent="0.2">
      <c r="A11" s="31">
        <v>9</v>
      </c>
      <c r="B11" s="30">
        <v>43157</v>
      </c>
      <c r="C11" s="30">
        <v>43163</v>
      </c>
      <c r="D11" s="28"/>
      <c r="E11" s="31">
        <v>9</v>
      </c>
      <c r="F11" s="30">
        <v>43521</v>
      </c>
      <c r="G11" s="30">
        <v>43527</v>
      </c>
      <c r="H11" s="108"/>
      <c r="I11" s="31">
        <v>9</v>
      </c>
      <c r="J11" s="30">
        <f t="shared" si="0"/>
        <v>43885</v>
      </c>
      <c r="K11" s="30">
        <f t="shared" si="1"/>
        <v>43891</v>
      </c>
      <c r="M11" s="31">
        <v>9</v>
      </c>
      <c r="N11" s="30">
        <f t="shared" si="2"/>
        <v>44249</v>
      </c>
      <c r="O11" s="30">
        <f t="shared" si="3"/>
        <v>44255</v>
      </c>
      <c r="Q11" s="31">
        <v>9</v>
      </c>
      <c r="R11" s="30">
        <f t="shared" si="4"/>
        <v>44620</v>
      </c>
      <c r="S11" s="30">
        <f t="shared" si="5"/>
        <v>44626</v>
      </c>
      <c r="U11" s="31">
        <v>9</v>
      </c>
      <c r="V11" s="30">
        <f t="shared" si="6"/>
        <v>44984</v>
      </c>
      <c r="W11" s="30">
        <f t="shared" si="7"/>
        <v>44990</v>
      </c>
      <c r="Y11" s="197">
        <v>9</v>
      </c>
      <c r="Z11" s="198">
        <f t="shared" si="8"/>
        <v>45348</v>
      </c>
      <c r="AA11" s="198">
        <f t="shared" si="9"/>
        <v>45354</v>
      </c>
      <c r="AC11" s="197">
        <v>9</v>
      </c>
      <c r="AD11" s="198">
        <f t="shared" si="10"/>
        <v>45712</v>
      </c>
      <c r="AE11" s="198">
        <f t="shared" si="11"/>
        <v>45718</v>
      </c>
      <c r="AG11" s="197">
        <v>9</v>
      </c>
      <c r="AH11" s="198">
        <f t="shared" si="12"/>
        <v>46076</v>
      </c>
      <c r="AI11" s="198">
        <f t="shared" si="13"/>
        <v>46082</v>
      </c>
      <c r="AO11" s="29">
        <v>10</v>
      </c>
      <c r="AP11" s="29" t="s">
        <v>128</v>
      </c>
      <c r="AQ11" s="30">
        <v>44470</v>
      </c>
      <c r="AR11" s="30">
        <v>44500</v>
      </c>
    </row>
    <row r="12" spans="1:45" x14ac:dyDescent="0.2">
      <c r="A12" s="31">
        <v>10</v>
      </c>
      <c r="B12" s="30">
        <v>43164</v>
      </c>
      <c r="C12" s="30">
        <v>43170</v>
      </c>
      <c r="D12" s="28"/>
      <c r="E12" s="31">
        <v>10</v>
      </c>
      <c r="F12" s="30">
        <v>43528</v>
      </c>
      <c r="G12" s="30">
        <v>43534</v>
      </c>
      <c r="H12" s="108"/>
      <c r="I12" s="31">
        <v>10</v>
      </c>
      <c r="J12" s="30">
        <f t="shared" si="0"/>
        <v>43892</v>
      </c>
      <c r="K12" s="30">
        <f t="shared" si="1"/>
        <v>43898</v>
      </c>
      <c r="M12" s="31">
        <v>10</v>
      </c>
      <c r="N12" s="30">
        <f t="shared" si="2"/>
        <v>44256</v>
      </c>
      <c r="O12" s="30">
        <f t="shared" si="3"/>
        <v>44262</v>
      </c>
      <c r="Q12" s="31">
        <v>10</v>
      </c>
      <c r="R12" s="30">
        <f t="shared" si="4"/>
        <v>44627</v>
      </c>
      <c r="S12" s="30">
        <f t="shared" si="5"/>
        <v>44633</v>
      </c>
      <c r="U12" s="31">
        <v>10</v>
      </c>
      <c r="V12" s="30">
        <f t="shared" si="6"/>
        <v>44991</v>
      </c>
      <c r="W12" s="30">
        <f t="shared" si="7"/>
        <v>44997</v>
      </c>
      <c r="Y12" s="197">
        <v>10</v>
      </c>
      <c r="Z12" s="198">
        <f t="shared" si="8"/>
        <v>45355</v>
      </c>
      <c r="AA12" s="198">
        <f t="shared" si="9"/>
        <v>45361</v>
      </c>
      <c r="AC12" s="197">
        <v>10</v>
      </c>
      <c r="AD12" s="198">
        <f t="shared" si="10"/>
        <v>45719</v>
      </c>
      <c r="AE12" s="198">
        <f t="shared" si="11"/>
        <v>45725</v>
      </c>
      <c r="AG12" s="197">
        <v>10</v>
      </c>
      <c r="AH12" s="198">
        <f t="shared" si="12"/>
        <v>46083</v>
      </c>
      <c r="AI12" s="198">
        <f t="shared" si="13"/>
        <v>46089</v>
      </c>
      <c r="AO12" s="29">
        <v>11</v>
      </c>
      <c r="AP12" s="29" t="s">
        <v>129</v>
      </c>
      <c r="AQ12" s="30">
        <v>44501</v>
      </c>
      <c r="AR12" s="30">
        <v>44530</v>
      </c>
    </row>
    <row r="13" spans="1:45" x14ac:dyDescent="0.2">
      <c r="A13" s="31">
        <v>11</v>
      </c>
      <c r="B13" s="30">
        <v>43171</v>
      </c>
      <c r="C13" s="30">
        <v>43177</v>
      </c>
      <c r="D13" s="28"/>
      <c r="E13" s="31">
        <v>11</v>
      </c>
      <c r="F13" s="30">
        <v>43535</v>
      </c>
      <c r="G13" s="30">
        <v>43541</v>
      </c>
      <c r="H13" s="108"/>
      <c r="I13" s="31">
        <v>11</v>
      </c>
      <c r="J13" s="30">
        <f t="shared" si="0"/>
        <v>43899</v>
      </c>
      <c r="K13" s="30">
        <f t="shared" si="1"/>
        <v>43905</v>
      </c>
      <c r="M13" s="31">
        <v>11</v>
      </c>
      <c r="N13" s="30">
        <f t="shared" si="2"/>
        <v>44263</v>
      </c>
      <c r="O13" s="30">
        <f t="shared" si="3"/>
        <v>44269</v>
      </c>
      <c r="Q13" s="31">
        <v>11</v>
      </c>
      <c r="R13" s="30">
        <f t="shared" si="4"/>
        <v>44634</v>
      </c>
      <c r="S13" s="30">
        <f t="shared" si="5"/>
        <v>44640</v>
      </c>
      <c r="U13" s="31">
        <v>11</v>
      </c>
      <c r="V13" s="30">
        <f t="shared" si="6"/>
        <v>44998</v>
      </c>
      <c r="W13" s="30">
        <f t="shared" si="7"/>
        <v>45004</v>
      </c>
      <c r="Y13" s="197">
        <v>11</v>
      </c>
      <c r="Z13" s="198">
        <f t="shared" si="8"/>
        <v>45362</v>
      </c>
      <c r="AA13" s="198">
        <f t="shared" si="9"/>
        <v>45368</v>
      </c>
      <c r="AC13" s="197">
        <v>11</v>
      </c>
      <c r="AD13" s="198">
        <f t="shared" si="10"/>
        <v>45726</v>
      </c>
      <c r="AE13" s="198">
        <f t="shared" si="11"/>
        <v>45732</v>
      </c>
      <c r="AG13" s="197">
        <v>11</v>
      </c>
      <c r="AH13" s="198">
        <f t="shared" si="12"/>
        <v>46090</v>
      </c>
      <c r="AI13" s="198">
        <f t="shared" si="13"/>
        <v>46096</v>
      </c>
      <c r="AO13" s="29">
        <v>12</v>
      </c>
      <c r="AP13" s="29" t="s">
        <v>130</v>
      </c>
      <c r="AQ13" s="30">
        <v>44531</v>
      </c>
      <c r="AR13" s="30">
        <v>44561</v>
      </c>
    </row>
    <row r="14" spans="1:45" x14ac:dyDescent="0.2">
      <c r="A14" s="31">
        <v>12</v>
      </c>
      <c r="B14" s="30">
        <v>43178</v>
      </c>
      <c r="C14" s="30">
        <v>43184</v>
      </c>
      <c r="D14" s="28"/>
      <c r="E14" s="31">
        <v>12</v>
      </c>
      <c r="F14" s="30">
        <v>43542</v>
      </c>
      <c r="G14" s="30">
        <v>43548</v>
      </c>
      <c r="H14" s="108"/>
      <c r="I14" s="31">
        <v>12</v>
      </c>
      <c r="J14" s="30">
        <f t="shared" si="0"/>
        <v>43906</v>
      </c>
      <c r="K14" s="30">
        <f t="shared" si="1"/>
        <v>43912</v>
      </c>
      <c r="M14" s="31">
        <v>12</v>
      </c>
      <c r="N14" s="30">
        <f t="shared" si="2"/>
        <v>44270</v>
      </c>
      <c r="O14" s="30">
        <f t="shared" si="3"/>
        <v>44276</v>
      </c>
      <c r="Q14" s="31">
        <v>12</v>
      </c>
      <c r="R14" s="30">
        <f t="shared" si="4"/>
        <v>44641</v>
      </c>
      <c r="S14" s="30">
        <f t="shared" si="5"/>
        <v>44647</v>
      </c>
      <c r="U14" s="31">
        <v>12</v>
      </c>
      <c r="V14" s="30">
        <f t="shared" si="6"/>
        <v>45005</v>
      </c>
      <c r="W14" s="30">
        <f t="shared" si="7"/>
        <v>45011</v>
      </c>
      <c r="Y14" s="197">
        <v>12</v>
      </c>
      <c r="Z14" s="198">
        <f t="shared" si="8"/>
        <v>45369</v>
      </c>
      <c r="AA14" s="198">
        <f t="shared" si="9"/>
        <v>45375</v>
      </c>
      <c r="AC14" s="197">
        <v>12</v>
      </c>
      <c r="AD14" s="198">
        <f t="shared" si="10"/>
        <v>45733</v>
      </c>
      <c r="AE14" s="198">
        <f t="shared" si="11"/>
        <v>45739</v>
      </c>
      <c r="AG14" s="197">
        <v>12</v>
      </c>
      <c r="AH14" s="198">
        <f t="shared" si="12"/>
        <v>46097</v>
      </c>
      <c r="AI14" s="198">
        <f t="shared" si="13"/>
        <v>46103</v>
      </c>
    </row>
    <row r="15" spans="1:45" x14ac:dyDescent="0.2">
      <c r="A15" s="31">
        <v>13</v>
      </c>
      <c r="B15" s="30">
        <v>43185</v>
      </c>
      <c r="C15" s="30">
        <v>43191</v>
      </c>
      <c r="D15" s="28"/>
      <c r="E15" s="31">
        <v>13</v>
      </c>
      <c r="F15" s="30">
        <v>43549</v>
      </c>
      <c r="G15" s="30">
        <v>43555</v>
      </c>
      <c r="H15" s="108"/>
      <c r="I15" s="31">
        <v>13</v>
      </c>
      <c r="J15" s="30">
        <f t="shared" si="0"/>
        <v>43913</v>
      </c>
      <c r="K15" s="30">
        <f t="shared" si="1"/>
        <v>43919</v>
      </c>
      <c r="M15" s="31">
        <v>13</v>
      </c>
      <c r="N15" s="30">
        <f t="shared" si="2"/>
        <v>44277</v>
      </c>
      <c r="O15" s="30">
        <f t="shared" si="3"/>
        <v>44283</v>
      </c>
      <c r="Q15" s="31">
        <v>13</v>
      </c>
      <c r="R15" s="30">
        <f t="shared" si="4"/>
        <v>44648</v>
      </c>
      <c r="S15" s="30">
        <f t="shared" si="5"/>
        <v>44654</v>
      </c>
      <c r="U15" s="31">
        <v>13</v>
      </c>
      <c r="V15" s="30">
        <f t="shared" si="6"/>
        <v>45012</v>
      </c>
      <c r="W15" s="30">
        <f t="shared" si="7"/>
        <v>45018</v>
      </c>
      <c r="Y15" s="197">
        <v>13</v>
      </c>
      <c r="Z15" s="198">
        <f t="shared" si="8"/>
        <v>45376</v>
      </c>
      <c r="AA15" s="198">
        <f t="shared" si="9"/>
        <v>45382</v>
      </c>
      <c r="AC15" s="197">
        <v>13</v>
      </c>
      <c r="AD15" s="198">
        <f t="shared" si="10"/>
        <v>45740</v>
      </c>
      <c r="AE15" s="198">
        <f t="shared" si="11"/>
        <v>45746</v>
      </c>
      <c r="AG15" s="197">
        <v>13</v>
      </c>
      <c r="AH15" s="198">
        <f t="shared" si="12"/>
        <v>46104</v>
      </c>
      <c r="AI15" s="198">
        <f t="shared" si="13"/>
        <v>46110</v>
      </c>
      <c r="AO15" s="262" t="s">
        <v>131</v>
      </c>
      <c r="AP15" s="262"/>
      <c r="AQ15" s="29" t="s">
        <v>84</v>
      </c>
      <c r="AR15" s="29" t="s">
        <v>85</v>
      </c>
    </row>
    <row r="16" spans="1:45" x14ac:dyDescent="0.2">
      <c r="A16" s="31">
        <v>14</v>
      </c>
      <c r="B16" s="30">
        <v>43192</v>
      </c>
      <c r="C16" s="30">
        <v>43198</v>
      </c>
      <c r="D16" s="28"/>
      <c r="E16" s="31">
        <v>14</v>
      </c>
      <c r="F16" s="30">
        <v>43556</v>
      </c>
      <c r="G16" s="30">
        <v>43562</v>
      </c>
      <c r="H16" s="108"/>
      <c r="I16" s="31">
        <v>14</v>
      </c>
      <c r="J16" s="30">
        <f t="shared" si="0"/>
        <v>43920</v>
      </c>
      <c r="K16" s="30">
        <f t="shared" si="1"/>
        <v>43926</v>
      </c>
      <c r="M16" s="31">
        <v>14</v>
      </c>
      <c r="N16" s="30">
        <f t="shared" si="2"/>
        <v>44284</v>
      </c>
      <c r="O16" s="30">
        <f t="shared" si="3"/>
        <v>44290</v>
      </c>
      <c r="Q16" s="31">
        <v>14</v>
      </c>
      <c r="R16" s="30">
        <f t="shared" si="4"/>
        <v>44655</v>
      </c>
      <c r="S16" s="30">
        <f t="shared" si="5"/>
        <v>44661</v>
      </c>
      <c r="U16" s="31">
        <v>14</v>
      </c>
      <c r="V16" s="30">
        <f t="shared" si="6"/>
        <v>45019</v>
      </c>
      <c r="W16" s="30">
        <f t="shared" si="7"/>
        <v>45025</v>
      </c>
      <c r="Y16" s="197">
        <v>14</v>
      </c>
      <c r="Z16" s="198">
        <f t="shared" si="8"/>
        <v>45383</v>
      </c>
      <c r="AA16" s="198">
        <f t="shared" si="9"/>
        <v>45389</v>
      </c>
      <c r="AC16" s="197">
        <v>14</v>
      </c>
      <c r="AD16" s="198">
        <f t="shared" si="10"/>
        <v>45747</v>
      </c>
      <c r="AE16" s="198">
        <f t="shared" si="11"/>
        <v>45753</v>
      </c>
      <c r="AG16" s="197">
        <v>14</v>
      </c>
      <c r="AH16" s="198">
        <f t="shared" si="12"/>
        <v>46111</v>
      </c>
      <c r="AI16" s="198">
        <f t="shared" si="13"/>
        <v>46117</v>
      </c>
      <c r="AO16" s="29">
        <v>1</v>
      </c>
      <c r="AP16" s="29" t="s">
        <v>119</v>
      </c>
      <c r="AQ16" s="30">
        <v>44562</v>
      </c>
      <c r="AR16" s="30">
        <v>44592</v>
      </c>
    </row>
    <row r="17" spans="1:44" x14ac:dyDescent="0.2">
      <c r="A17" s="31">
        <v>15</v>
      </c>
      <c r="B17" s="30">
        <v>43199</v>
      </c>
      <c r="C17" s="30">
        <v>43205</v>
      </c>
      <c r="D17" s="28"/>
      <c r="E17" s="31">
        <v>15</v>
      </c>
      <c r="F17" s="30">
        <v>43563</v>
      </c>
      <c r="G17" s="30">
        <v>43569</v>
      </c>
      <c r="H17" s="108"/>
      <c r="I17" s="31">
        <v>15</v>
      </c>
      <c r="J17" s="30">
        <f t="shared" si="0"/>
        <v>43927</v>
      </c>
      <c r="K17" s="30">
        <f t="shared" si="1"/>
        <v>43933</v>
      </c>
      <c r="M17" s="31">
        <v>15</v>
      </c>
      <c r="N17" s="30">
        <f t="shared" si="2"/>
        <v>44291</v>
      </c>
      <c r="O17" s="30">
        <f t="shared" si="3"/>
        <v>44297</v>
      </c>
      <c r="Q17" s="31">
        <v>15</v>
      </c>
      <c r="R17" s="30">
        <f t="shared" si="4"/>
        <v>44662</v>
      </c>
      <c r="S17" s="30">
        <f t="shared" si="5"/>
        <v>44668</v>
      </c>
      <c r="U17" s="31">
        <v>15</v>
      </c>
      <c r="V17" s="30">
        <f t="shared" si="6"/>
        <v>45026</v>
      </c>
      <c r="W17" s="30">
        <f t="shared" si="7"/>
        <v>45032</v>
      </c>
      <c r="Y17" s="197">
        <v>15</v>
      </c>
      <c r="Z17" s="198">
        <f t="shared" si="8"/>
        <v>45390</v>
      </c>
      <c r="AA17" s="198">
        <f t="shared" si="9"/>
        <v>45396</v>
      </c>
      <c r="AC17" s="197">
        <v>15</v>
      </c>
      <c r="AD17" s="198">
        <f t="shared" si="10"/>
        <v>45754</v>
      </c>
      <c r="AE17" s="198">
        <f t="shared" si="11"/>
        <v>45760</v>
      </c>
      <c r="AG17" s="197">
        <v>15</v>
      </c>
      <c r="AH17" s="198">
        <f t="shared" si="12"/>
        <v>46118</v>
      </c>
      <c r="AI17" s="198">
        <f t="shared" si="13"/>
        <v>46124</v>
      </c>
      <c r="AO17" s="29">
        <v>2</v>
      </c>
      <c r="AP17" s="29" t="s">
        <v>120</v>
      </c>
      <c r="AQ17" s="30">
        <v>44593</v>
      </c>
      <c r="AR17" s="30">
        <v>44620</v>
      </c>
    </row>
    <row r="18" spans="1:44" x14ac:dyDescent="0.2">
      <c r="A18" s="31">
        <v>16</v>
      </c>
      <c r="B18" s="30">
        <v>43206</v>
      </c>
      <c r="C18" s="30">
        <v>43212</v>
      </c>
      <c r="D18" s="28"/>
      <c r="E18" s="31">
        <v>16</v>
      </c>
      <c r="F18" s="30">
        <v>43570</v>
      </c>
      <c r="G18" s="30">
        <v>43576</v>
      </c>
      <c r="H18" s="108"/>
      <c r="I18" s="31">
        <v>16</v>
      </c>
      <c r="J18" s="30">
        <f t="shared" si="0"/>
        <v>43934</v>
      </c>
      <c r="K18" s="30">
        <f t="shared" si="1"/>
        <v>43940</v>
      </c>
      <c r="M18" s="31">
        <v>16</v>
      </c>
      <c r="N18" s="30">
        <f t="shared" si="2"/>
        <v>44298</v>
      </c>
      <c r="O18" s="30">
        <f t="shared" si="3"/>
        <v>44304</v>
      </c>
      <c r="Q18" s="31">
        <v>16</v>
      </c>
      <c r="R18" s="30">
        <f t="shared" si="4"/>
        <v>44669</v>
      </c>
      <c r="S18" s="30">
        <f t="shared" si="5"/>
        <v>44675</v>
      </c>
      <c r="U18" s="31">
        <v>16</v>
      </c>
      <c r="V18" s="30">
        <f t="shared" si="6"/>
        <v>45033</v>
      </c>
      <c r="W18" s="30">
        <f t="shared" si="7"/>
        <v>45039</v>
      </c>
      <c r="Y18" s="197">
        <v>16</v>
      </c>
      <c r="Z18" s="198">
        <f t="shared" si="8"/>
        <v>45397</v>
      </c>
      <c r="AA18" s="198">
        <f t="shared" si="9"/>
        <v>45403</v>
      </c>
      <c r="AC18" s="197">
        <v>16</v>
      </c>
      <c r="AD18" s="198">
        <f t="shared" si="10"/>
        <v>45761</v>
      </c>
      <c r="AE18" s="198">
        <f t="shared" si="11"/>
        <v>45767</v>
      </c>
      <c r="AG18" s="197">
        <v>16</v>
      </c>
      <c r="AH18" s="198">
        <f t="shared" si="12"/>
        <v>46125</v>
      </c>
      <c r="AI18" s="198">
        <f t="shared" si="13"/>
        <v>46131</v>
      </c>
      <c r="AO18" s="29">
        <v>3</v>
      </c>
      <c r="AP18" s="29" t="s">
        <v>121</v>
      </c>
      <c r="AQ18" s="30">
        <v>44621</v>
      </c>
      <c r="AR18" s="30">
        <v>44651</v>
      </c>
    </row>
    <row r="19" spans="1:44" x14ac:dyDescent="0.2">
      <c r="A19" s="31">
        <v>17</v>
      </c>
      <c r="B19" s="30">
        <v>43213</v>
      </c>
      <c r="C19" s="30">
        <v>43219</v>
      </c>
      <c r="D19" s="28"/>
      <c r="E19" s="31">
        <v>17</v>
      </c>
      <c r="F19" s="30">
        <v>43577</v>
      </c>
      <c r="G19" s="30">
        <v>43583</v>
      </c>
      <c r="H19" s="108"/>
      <c r="I19" s="31">
        <v>17</v>
      </c>
      <c r="J19" s="30">
        <f t="shared" si="0"/>
        <v>43941</v>
      </c>
      <c r="K19" s="30">
        <f t="shared" si="1"/>
        <v>43947</v>
      </c>
      <c r="M19" s="31">
        <v>17</v>
      </c>
      <c r="N19" s="30">
        <f t="shared" si="2"/>
        <v>44305</v>
      </c>
      <c r="O19" s="30">
        <f t="shared" si="3"/>
        <v>44311</v>
      </c>
      <c r="Q19" s="31">
        <v>17</v>
      </c>
      <c r="R19" s="30">
        <f t="shared" si="4"/>
        <v>44676</v>
      </c>
      <c r="S19" s="30">
        <f t="shared" si="5"/>
        <v>44682</v>
      </c>
      <c r="U19" s="31">
        <v>17</v>
      </c>
      <c r="V19" s="30">
        <f t="shared" si="6"/>
        <v>45040</v>
      </c>
      <c r="W19" s="30">
        <f t="shared" si="7"/>
        <v>45046</v>
      </c>
      <c r="Y19" s="197">
        <v>17</v>
      </c>
      <c r="Z19" s="198">
        <f t="shared" si="8"/>
        <v>45404</v>
      </c>
      <c r="AA19" s="198">
        <f t="shared" si="9"/>
        <v>45410</v>
      </c>
      <c r="AC19" s="197">
        <v>17</v>
      </c>
      <c r="AD19" s="198">
        <f t="shared" si="10"/>
        <v>45768</v>
      </c>
      <c r="AE19" s="198">
        <f t="shared" si="11"/>
        <v>45774</v>
      </c>
      <c r="AG19" s="197">
        <v>17</v>
      </c>
      <c r="AH19" s="198">
        <f t="shared" si="12"/>
        <v>46132</v>
      </c>
      <c r="AI19" s="198">
        <f t="shared" si="13"/>
        <v>46138</v>
      </c>
      <c r="AO19" s="29">
        <v>4</v>
      </c>
      <c r="AP19" s="29" t="s">
        <v>122</v>
      </c>
      <c r="AQ19" s="30">
        <v>44652</v>
      </c>
      <c r="AR19" s="30">
        <v>44681</v>
      </c>
    </row>
    <row r="20" spans="1:44" x14ac:dyDescent="0.2">
      <c r="A20" s="31">
        <v>18</v>
      </c>
      <c r="B20" s="30">
        <v>43220</v>
      </c>
      <c r="C20" s="30">
        <v>43226</v>
      </c>
      <c r="D20" s="28"/>
      <c r="E20" s="31">
        <v>18</v>
      </c>
      <c r="F20" s="30">
        <v>43584</v>
      </c>
      <c r="G20" s="30">
        <v>43590</v>
      </c>
      <c r="H20" s="108"/>
      <c r="I20" s="31">
        <v>18</v>
      </c>
      <c r="J20" s="30">
        <f t="shared" si="0"/>
        <v>43948</v>
      </c>
      <c r="K20" s="30">
        <f t="shared" si="1"/>
        <v>43954</v>
      </c>
      <c r="M20" s="31">
        <v>18</v>
      </c>
      <c r="N20" s="30">
        <f t="shared" si="2"/>
        <v>44312</v>
      </c>
      <c r="O20" s="30">
        <f t="shared" si="3"/>
        <v>44318</v>
      </c>
      <c r="Q20" s="31">
        <v>18</v>
      </c>
      <c r="R20" s="30">
        <f t="shared" si="4"/>
        <v>44683</v>
      </c>
      <c r="S20" s="30">
        <f t="shared" si="5"/>
        <v>44689</v>
      </c>
      <c r="U20" s="31">
        <v>18</v>
      </c>
      <c r="V20" s="30">
        <f t="shared" si="6"/>
        <v>45047</v>
      </c>
      <c r="W20" s="30">
        <f t="shared" si="7"/>
        <v>45053</v>
      </c>
      <c r="Y20" s="197">
        <v>18</v>
      </c>
      <c r="Z20" s="198">
        <f t="shared" si="8"/>
        <v>45411</v>
      </c>
      <c r="AA20" s="198">
        <f t="shared" si="9"/>
        <v>45417</v>
      </c>
      <c r="AC20" s="197">
        <v>18</v>
      </c>
      <c r="AD20" s="198">
        <f t="shared" si="10"/>
        <v>45775</v>
      </c>
      <c r="AE20" s="198">
        <f t="shared" si="11"/>
        <v>45781</v>
      </c>
      <c r="AG20" s="197">
        <v>18</v>
      </c>
      <c r="AH20" s="198">
        <f t="shared" si="12"/>
        <v>46139</v>
      </c>
      <c r="AI20" s="198">
        <f t="shared" si="13"/>
        <v>46145</v>
      </c>
      <c r="AO20" s="29">
        <v>5</v>
      </c>
      <c r="AP20" s="29" t="s">
        <v>123</v>
      </c>
      <c r="AQ20" s="30">
        <v>44682</v>
      </c>
      <c r="AR20" s="30">
        <v>44712</v>
      </c>
    </row>
    <row r="21" spans="1:44" x14ac:dyDescent="0.2">
      <c r="A21" s="31">
        <v>19</v>
      </c>
      <c r="B21" s="30">
        <v>43227</v>
      </c>
      <c r="C21" s="30">
        <v>43233</v>
      </c>
      <c r="D21" s="28"/>
      <c r="E21" s="31">
        <v>19</v>
      </c>
      <c r="F21" s="30">
        <v>43591</v>
      </c>
      <c r="G21" s="30">
        <v>43597</v>
      </c>
      <c r="H21" s="108"/>
      <c r="I21" s="31">
        <v>19</v>
      </c>
      <c r="J21" s="30">
        <f t="shared" si="0"/>
        <v>43955</v>
      </c>
      <c r="K21" s="30">
        <f t="shared" si="1"/>
        <v>43961</v>
      </c>
      <c r="M21" s="31">
        <v>19</v>
      </c>
      <c r="N21" s="30">
        <f t="shared" si="2"/>
        <v>44319</v>
      </c>
      <c r="O21" s="30">
        <f t="shared" si="3"/>
        <v>44325</v>
      </c>
      <c r="Q21" s="31">
        <v>19</v>
      </c>
      <c r="R21" s="30">
        <f t="shared" si="4"/>
        <v>44690</v>
      </c>
      <c r="S21" s="30">
        <f t="shared" si="5"/>
        <v>44696</v>
      </c>
      <c r="U21" s="31">
        <v>19</v>
      </c>
      <c r="V21" s="30">
        <f t="shared" si="6"/>
        <v>45054</v>
      </c>
      <c r="W21" s="30">
        <f t="shared" si="7"/>
        <v>45060</v>
      </c>
      <c r="Y21" s="197">
        <v>19</v>
      </c>
      <c r="Z21" s="198">
        <f t="shared" si="8"/>
        <v>45418</v>
      </c>
      <c r="AA21" s="198">
        <f t="shared" si="9"/>
        <v>45424</v>
      </c>
      <c r="AC21" s="197">
        <v>19</v>
      </c>
      <c r="AD21" s="198">
        <f t="shared" si="10"/>
        <v>45782</v>
      </c>
      <c r="AE21" s="198">
        <f t="shared" si="11"/>
        <v>45788</v>
      </c>
      <c r="AG21" s="197">
        <v>19</v>
      </c>
      <c r="AH21" s="198">
        <f t="shared" si="12"/>
        <v>46146</v>
      </c>
      <c r="AI21" s="198">
        <f t="shared" si="13"/>
        <v>46152</v>
      </c>
      <c r="AO21" s="29">
        <v>6</v>
      </c>
      <c r="AP21" s="29" t="s">
        <v>124</v>
      </c>
      <c r="AQ21" s="30">
        <v>44713</v>
      </c>
      <c r="AR21" s="30">
        <v>44742</v>
      </c>
    </row>
    <row r="22" spans="1:44" x14ac:dyDescent="0.2">
      <c r="A22" s="31">
        <v>20</v>
      </c>
      <c r="B22" s="30">
        <v>43234</v>
      </c>
      <c r="C22" s="30">
        <v>43240</v>
      </c>
      <c r="D22" s="28"/>
      <c r="E22" s="31">
        <v>20</v>
      </c>
      <c r="F22" s="30">
        <v>43598</v>
      </c>
      <c r="G22" s="30">
        <v>43604</v>
      </c>
      <c r="H22" s="108"/>
      <c r="I22" s="31">
        <v>20</v>
      </c>
      <c r="J22" s="30">
        <f t="shared" si="0"/>
        <v>43962</v>
      </c>
      <c r="K22" s="30">
        <f t="shared" si="1"/>
        <v>43968</v>
      </c>
      <c r="M22" s="31">
        <v>20</v>
      </c>
      <c r="N22" s="30">
        <f t="shared" si="2"/>
        <v>44326</v>
      </c>
      <c r="O22" s="30">
        <f t="shared" si="3"/>
        <v>44332</v>
      </c>
      <c r="Q22" s="31">
        <v>20</v>
      </c>
      <c r="R22" s="30">
        <f t="shared" si="4"/>
        <v>44697</v>
      </c>
      <c r="S22" s="30">
        <f t="shared" si="5"/>
        <v>44703</v>
      </c>
      <c r="U22" s="31">
        <v>20</v>
      </c>
      <c r="V22" s="30">
        <f t="shared" si="6"/>
        <v>45061</v>
      </c>
      <c r="W22" s="30">
        <f t="shared" si="7"/>
        <v>45067</v>
      </c>
      <c r="Y22" s="197">
        <v>20</v>
      </c>
      <c r="Z22" s="198">
        <f t="shared" si="8"/>
        <v>45425</v>
      </c>
      <c r="AA22" s="198">
        <f t="shared" si="9"/>
        <v>45431</v>
      </c>
      <c r="AC22" s="197">
        <v>20</v>
      </c>
      <c r="AD22" s="198">
        <f t="shared" si="10"/>
        <v>45789</v>
      </c>
      <c r="AE22" s="198">
        <f t="shared" si="11"/>
        <v>45795</v>
      </c>
      <c r="AG22" s="197">
        <v>20</v>
      </c>
      <c r="AH22" s="198">
        <f t="shared" si="12"/>
        <v>46153</v>
      </c>
      <c r="AI22" s="198">
        <f t="shared" si="13"/>
        <v>46159</v>
      </c>
      <c r="AO22" s="29">
        <v>7</v>
      </c>
      <c r="AP22" s="29" t="s">
        <v>125</v>
      </c>
      <c r="AQ22" s="30">
        <v>44743</v>
      </c>
      <c r="AR22" s="30">
        <v>44773</v>
      </c>
    </row>
    <row r="23" spans="1:44" x14ac:dyDescent="0.2">
      <c r="A23" s="31">
        <v>21</v>
      </c>
      <c r="B23" s="30">
        <v>43241</v>
      </c>
      <c r="C23" s="30">
        <v>43247</v>
      </c>
      <c r="D23" s="28"/>
      <c r="E23" s="31">
        <v>21</v>
      </c>
      <c r="F23" s="30">
        <v>43605</v>
      </c>
      <c r="G23" s="30">
        <v>43611</v>
      </c>
      <c r="H23" s="108"/>
      <c r="I23" s="31">
        <v>21</v>
      </c>
      <c r="J23" s="30">
        <f t="shared" si="0"/>
        <v>43969</v>
      </c>
      <c r="K23" s="30">
        <f t="shared" si="1"/>
        <v>43975</v>
      </c>
      <c r="M23" s="31">
        <v>21</v>
      </c>
      <c r="N23" s="30">
        <f t="shared" si="2"/>
        <v>44333</v>
      </c>
      <c r="O23" s="30">
        <f t="shared" si="3"/>
        <v>44339</v>
      </c>
      <c r="Q23" s="31">
        <v>21</v>
      </c>
      <c r="R23" s="30">
        <f t="shared" si="4"/>
        <v>44704</v>
      </c>
      <c r="S23" s="30">
        <f t="shared" si="5"/>
        <v>44710</v>
      </c>
      <c r="U23" s="31">
        <v>21</v>
      </c>
      <c r="V23" s="30">
        <f t="shared" si="6"/>
        <v>45068</v>
      </c>
      <c r="W23" s="30">
        <f t="shared" si="7"/>
        <v>45074</v>
      </c>
      <c r="Y23" s="197">
        <v>21</v>
      </c>
      <c r="Z23" s="198">
        <f t="shared" si="8"/>
        <v>45432</v>
      </c>
      <c r="AA23" s="198">
        <f t="shared" si="9"/>
        <v>45438</v>
      </c>
      <c r="AC23" s="197">
        <v>21</v>
      </c>
      <c r="AD23" s="198">
        <f t="shared" si="10"/>
        <v>45796</v>
      </c>
      <c r="AE23" s="198">
        <f t="shared" si="11"/>
        <v>45802</v>
      </c>
      <c r="AG23" s="197">
        <v>21</v>
      </c>
      <c r="AH23" s="198">
        <f t="shared" si="12"/>
        <v>46160</v>
      </c>
      <c r="AI23" s="198">
        <f t="shared" si="13"/>
        <v>46166</v>
      </c>
      <c r="AO23" s="29">
        <v>8</v>
      </c>
      <c r="AP23" s="29" t="s">
        <v>126</v>
      </c>
      <c r="AQ23" s="30">
        <v>44774</v>
      </c>
      <c r="AR23" s="30">
        <v>44804</v>
      </c>
    </row>
    <row r="24" spans="1:44" x14ac:dyDescent="0.2">
      <c r="A24" s="31">
        <v>22</v>
      </c>
      <c r="B24" s="30">
        <v>43248</v>
      </c>
      <c r="C24" s="30">
        <v>43254</v>
      </c>
      <c r="D24" s="28"/>
      <c r="E24" s="31">
        <v>22</v>
      </c>
      <c r="F24" s="30">
        <v>43612</v>
      </c>
      <c r="G24" s="30">
        <v>43618</v>
      </c>
      <c r="H24" s="108"/>
      <c r="I24" s="31">
        <v>22</v>
      </c>
      <c r="J24" s="30">
        <f t="shared" si="0"/>
        <v>43976</v>
      </c>
      <c r="K24" s="30">
        <f t="shared" si="1"/>
        <v>43982</v>
      </c>
      <c r="M24" s="31">
        <v>22</v>
      </c>
      <c r="N24" s="30">
        <f t="shared" si="2"/>
        <v>44340</v>
      </c>
      <c r="O24" s="30">
        <f t="shared" si="3"/>
        <v>44346</v>
      </c>
      <c r="Q24" s="31">
        <v>22</v>
      </c>
      <c r="R24" s="30">
        <f t="shared" si="4"/>
        <v>44711</v>
      </c>
      <c r="S24" s="30">
        <f t="shared" si="5"/>
        <v>44717</v>
      </c>
      <c r="U24" s="31">
        <v>22</v>
      </c>
      <c r="V24" s="30">
        <f t="shared" si="6"/>
        <v>45075</v>
      </c>
      <c r="W24" s="30">
        <f t="shared" si="7"/>
        <v>45081</v>
      </c>
      <c r="Y24" s="197">
        <v>22</v>
      </c>
      <c r="Z24" s="198">
        <f t="shared" si="8"/>
        <v>45439</v>
      </c>
      <c r="AA24" s="198">
        <f t="shared" si="9"/>
        <v>45445</v>
      </c>
      <c r="AC24" s="197">
        <v>22</v>
      </c>
      <c r="AD24" s="198">
        <f t="shared" si="10"/>
        <v>45803</v>
      </c>
      <c r="AE24" s="198">
        <f t="shared" si="11"/>
        <v>45809</v>
      </c>
      <c r="AG24" s="197">
        <v>22</v>
      </c>
      <c r="AH24" s="198">
        <f t="shared" si="12"/>
        <v>46167</v>
      </c>
      <c r="AI24" s="198">
        <f t="shared" si="13"/>
        <v>46173</v>
      </c>
      <c r="AO24" s="29">
        <v>9</v>
      </c>
      <c r="AP24" s="29" t="s">
        <v>127</v>
      </c>
      <c r="AQ24" s="30">
        <v>44805</v>
      </c>
      <c r="AR24" s="30">
        <v>44834</v>
      </c>
    </row>
    <row r="25" spans="1:44" x14ac:dyDescent="0.2">
      <c r="A25" s="31">
        <v>23</v>
      </c>
      <c r="B25" s="30">
        <v>43255</v>
      </c>
      <c r="C25" s="30">
        <v>43261</v>
      </c>
      <c r="D25" s="28"/>
      <c r="E25" s="31">
        <v>23</v>
      </c>
      <c r="F25" s="30">
        <v>43619</v>
      </c>
      <c r="G25" s="30">
        <v>43625</v>
      </c>
      <c r="H25" s="108"/>
      <c r="I25" s="31">
        <v>23</v>
      </c>
      <c r="J25" s="30">
        <f t="shared" si="0"/>
        <v>43983</v>
      </c>
      <c r="K25" s="30">
        <f t="shared" si="1"/>
        <v>43989</v>
      </c>
      <c r="M25" s="31">
        <v>23</v>
      </c>
      <c r="N25" s="30">
        <f t="shared" si="2"/>
        <v>44347</v>
      </c>
      <c r="O25" s="30">
        <f t="shared" si="3"/>
        <v>44353</v>
      </c>
      <c r="Q25" s="31">
        <v>23</v>
      </c>
      <c r="R25" s="30">
        <f t="shared" si="4"/>
        <v>44718</v>
      </c>
      <c r="S25" s="30">
        <f t="shared" si="5"/>
        <v>44724</v>
      </c>
      <c r="U25" s="31">
        <v>23</v>
      </c>
      <c r="V25" s="30">
        <f t="shared" si="6"/>
        <v>45082</v>
      </c>
      <c r="W25" s="30">
        <f t="shared" si="7"/>
        <v>45088</v>
      </c>
      <c r="Y25" s="197">
        <v>23</v>
      </c>
      <c r="Z25" s="198">
        <f t="shared" si="8"/>
        <v>45446</v>
      </c>
      <c r="AA25" s="198">
        <f t="shared" si="9"/>
        <v>45452</v>
      </c>
      <c r="AC25" s="197">
        <v>23</v>
      </c>
      <c r="AD25" s="198">
        <f t="shared" si="10"/>
        <v>45810</v>
      </c>
      <c r="AE25" s="198">
        <f t="shared" si="11"/>
        <v>45816</v>
      </c>
      <c r="AG25" s="197">
        <v>23</v>
      </c>
      <c r="AH25" s="198">
        <f t="shared" si="12"/>
        <v>46174</v>
      </c>
      <c r="AI25" s="198">
        <f t="shared" si="13"/>
        <v>46180</v>
      </c>
      <c r="AO25" s="29">
        <v>10</v>
      </c>
      <c r="AP25" s="29" t="s">
        <v>128</v>
      </c>
      <c r="AQ25" s="30">
        <v>44835</v>
      </c>
      <c r="AR25" s="30">
        <v>44865</v>
      </c>
    </row>
    <row r="26" spans="1:44" x14ac:dyDescent="0.2">
      <c r="A26" s="31">
        <v>24</v>
      </c>
      <c r="B26" s="30">
        <v>43262</v>
      </c>
      <c r="C26" s="30">
        <v>43268</v>
      </c>
      <c r="D26" s="28"/>
      <c r="E26" s="31">
        <v>24</v>
      </c>
      <c r="F26" s="30">
        <v>43626</v>
      </c>
      <c r="G26" s="30">
        <v>43632</v>
      </c>
      <c r="H26" s="108"/>
      <c r="I26" s="31">
        <v>24</v>
      </c>
      <c r="J26" s="30">
        <f t="shared" si="0"/>
        <v>43990</v>
      </c>
      <c r="K26" s="30">
        <f t="shared" si="1"/>
        <v>43996</v>
      </c>
      <c r="M26" s="31">
        <v>24</v>
      </c>
      <c r="N26" s="30">
        <f t="shared" si="2"/>
        <v>44354</v>
      </c>
      <c r="O26" s="30">
        <f t="shared" si="3"/>
        <v>44360</v>
      </c>
      <c r="Q26" s="31">
        <v>24</v>
      </c>
      <c r="R26" s="30">
        <f t="shared" si="4"/>
        <v>44725</v>
      </c>
      <c r="S26" s="30">
        <f t="shared" si="5"/>
        <v>44731</v>
      </c>
      <c r="U26" s="31">
        <v>24</v>
      </c>
      <c r="V26" s="30">
        <f t="shared" si="6"/>
        <v>45089</v>
      </c>
      <c r="W26" s="30">
        <f t="shared" si="7"/>
        <v>45095</v>
      </c>
      <c r="Y26" s="197">
        <v>24</v>
      </c>
      <c r="Z26" s="198">
        <f t="shared" si="8"/>
        <v>45453</v>
      </c>
      <c r="AA26" s="198">
        <f t="shared" si="9"/>
        <v>45459</v>
      </c>
      <c r="AC26" s="197">
        <v>24</v>
      </c>
      <c r="AD26" s="198">
        <f t="shared" si="10"/>
        <v>45817</v>
      </c>
      <c r="AE26" s="198">
        <f t="shared" si="11"/>
        <v>45823</v>
      </c>
      <c r="AG26" s="197">
        <v>24</v>
      </c>
      <c r="AH26" s="198">
        <f t="shared" si="12"/>
        <v>46181</v>
      </c>
      <c r="AI26" s="198">
        <f t="shared" si="13"/>
        <v>46187</v>
      </c>
      <c r="AO26" s="29">
        <v>11</v>
      </c>
      <c r="AP26" s="29" t="s">
        <v>129</v>
      </c>
      <c r="AQ26" s="30">
        <v>44866</v>
      </c>
      <c r="AR26" s="30">
        <v>44895</v>
      </c>
    </row>
    <row r="27" spans="1:44" x14ac:dyDescent="0.2">
      <c r="A27" s="31">
        <v>25</v>
      </c>
      <c r="B27" s="30">
        <v>43269</v>
      </c>
      <c r="C27" s="30">
        <v>43275</v>
      </c>
      <c r="D27" s="28"/>
      <c r="E27" s="31">
        <v>25</v>
      </c>
      <c r="F27" s="30">
        <v>43633</v>
      </c>
      <c r="G27" s="30">
        <v>43639</v>
      </c>
      <c r="H27" s="108"/>
      <c r="I27" s="31">
        <v>25</v>
      </c>
      <c r="J27" s="30">
        <f t="shared" si="0"/>
        <v>43997</v>
      </c>
      <c r="K27" s="30">
        <f t="shared" si="1"/>
        <v>44003</v>
      </c>
      <c r="M27" s="31">
        <v>25</v>
      </c>
      <c r="N27" s="30">
        <f t="shared" si="2"/>
        <v>44361</v>
      </c>
      <c r="O27" s="30">
        <f t="shared" si="3"/>
        <v>44367</v>
      </c>
      <c r="Q27" s="31">
        <v>25</v>
      </c>
      <c r="R27" s="30">
        <f t="shared" si="4"/>
        <v>44732</v>
      </c>
      <c r="S27" s="30">
        <f t="shared" si="5"/>
        <v>44738</v>
      </c>
      <c r="U27" s="31">
        <v>25</v>
      </c>
      <c r="V27" s="30">
        <f t="shared" si="6"/>
        <v>45096</v>
      </c>
      <c r="W27" s="30">
        <f t="shared" si="7"/>
        <v>45102</v>
      </c>
      <c r="Y27" s="197">
        <v>25</v>
      </c>
      <c r="Z27" s="198">
        <f t="shared" si="8"/>
        <v>45460</v>
      </c>
      <c r="AA27" s="198">
        <f t="shared" si="9"/>
        <v>45466</v>
      </c>
      <c r="AC27" s="197">
        <v>25</v>
      </c>
      <c r="AD27" s="198">
        <f t="shared" si="10"/>
        <v>45824</v>
      </c>
      <c r="AE27" s="198">
        <f t="shared" si="11"/>
        <v>45830</v>
      </c>
      <c r="AG27" s="197">
        <v>25</v>
      </c>
      <c r="AH27" s="198">
        <f t="shared" si="12"/>
        <v>46188</v>
      </c>
      <c r="AI27" s="198">
        <f t="shared" si="13"/>
        <v>46194</v>
      </c>
      <c r="AO27" s="29">
        <v>12</v>
      </c>
      <c r="AP27" s="29" t="s">
        <v>130</v>
      </c>
      <c r="AQ27" s="30">
        <v>44896</v>
      </c>
      <c r="AR27" s="30">
        <v>44926</v>
      </c>
    </row>
    <row r="28" spans="1:44" x14ac:dyDescent="0.2">
      <c r="A28" s="31">
        <v>26</v>
      </c>
      <c r="B28" s="30">
        <v>43276</v>
      </c>
      <c r="C28" s="30">
        <v>43282</v>
      </c>
      <c r="D28" s="28"/>
      <c r="E28" s="31">
        <v>26</v>
      </c>
      <c r="F28" s="30">
        <v>43640</v>
      </c>
      <c r="G28" s="30">
        <v>43646</v>
      </c>
      <c r="H28" s="108"/>
      <c r="I28" s="31">
        <v>26</v>
      </c>
      <c r="J28" s="30">
        <f t="shared" si="0"/>
        <v>44004</v>
      </c>
      <c r="K28" s="30">
        <f t="shared" si="1"/>
        <v>44010</v>
      </c>
      <c r="M28" s="31">
        <v>26</v>
      </c>
      <c r="N28" s="30">
        <f t="shared" si="2"/>
        <v>44368</v>
      </c>
      <c r="O28" s="30">
        <f t="shared" si="3"/>
        <v>44374</v>
      </c>
      <c r="Q28" s="31">
        <v>26</v>
      </c>
      <c r="R28" s="30">
        <f t="shared" si="4"/>
        <v>44739</v>
      </c>
      <c r="S28" s="30">
        <f t="shared" si="5"/>
        <v>44745</v>
      </c>
      <c r="U28" s="31">
        <v>26</v>
      </c>
      <c r="V28" s="30">
        <f t="shared" si="6"/>
        <v>45103</v>
      </c>
      <c r="W28" s="30">
        <f t="shared" si="7"/>
        <v>45109</v>
      </c>
      <c r="Y28" s="197">
        <v>26</v>
      </c>
      <c r="Z28" s="198">
        <f t="shared" si="8"/>
        <v>45467</v>
      </c>
      <c r="AA28" s="198">
        <f t="shared" si="9"/>
        <v>45473</v>
      </c>
      <c r="AC28" s="197">
        <v>26</v>
      </c>
      <c r="AD28" s="198">
        <f t="shared" si="10"/>
        <v>45831</v>
      </c>
      <c r="AE28" s="198">
        <f t="shared" si="11"/>
        <v>45837</v>
      </c>
      <c r="AG28" s="197">
        <v>26</v>
      </c>
      <c r="AH28" s="198">
        <f t="shared" si="12"/>
        <v>46195</v>
      </c>
      <c r="AI28" s="198">
        <f t="shared" si="13"/>
        <v>46201</v>
      </c>
    </row>
    <row r="29" spans="1:44" x14ac:dyDescent="0.2">
      <c r="A29" s="31">
        <v>27</v>
      </c>
      <c r="B29" s="30">
        <v>43283</v>
      </c>
      <c r="C29" s="30">
        <v>43289</v>
      </c>
      <c r="D29" s="28"/>
      <c r="E29" s="31">
        <v>27</v>
      </c>
      <c r="F29" s="30">
        <v>43647</v>
      </c>
      <c r="G29" s="30">
        <v>43653</v>
      </c>
      <c r="H29" s="108"/>
      <c r="I29" s="31">
        <v>27</v>
      </c>
      <c r="J29" s="30">
        <f t="shared" si="0"/>
        <v>44011</v>
      </c>
      <c r="K29" s="30">
        <f t="shared" si="1"/>
        <v>44017</v>
      </c>
      <c r="M29" s="31">
        <v>27</v>
      </c>
      <c r="N29" s="30">
        <f t="shared" si="2"/>
        <v>44375</v>
      </c>
      <c r="O29" s="30">
        <f t="shared" si="3"/>
        <v>44381</v>
      </c>
      <c r="Q29" s="31">
        <v>27</v>
      </c>
      <c r="R29" s="30">
        <f t="shared" si="4"/>
        <v>44746</v>
      </c>
      <c r="S29" s="30">
        <f t="shared" si="5"/>
        <v>44752</v>
      </c>
      <c r="U29" s="31">
        <v>27</v>
      </c>
      <c r="V29" s="30">
        <f t="shared" si="6"/>
        <v>45110</v>
      </c>
      <c r="W29" s="30">
        <f t="shared" si="7"/>
        <v>45116</v>
      </c>
      <c r="Y29" s="197">
        <v>27</v>
      </c>
      <c r="Z29" s="198">
        <f t="shared" si="8"/>
        <v>45474</v>
      </c>
      <c r="AA29" s="198">
        <f t="shared" si="9"/>
        <v>45480</v>
      </c>
      <c r="AC29" s="197">
        <v>27</v>
      </c>
      <c r="AD29" s="198">
        <f t="shared" si="10"/>
        <v>45838</v>
      </c>
      <c r="AE29" s="198">
        <f t="shared" si="11"/>
        <v>45844</v>
      </c>
      <c r="AG29" s="197">
        <v>27</v>
      </c>
      <c r="AH29" s="198">
        <f t="shared" si="12"/>
        <v>46202</v>
      </c>
      <c r="AI29" s="198">
        <f t="shared" si="13"/>
        <v>46208</v>
      </c>
      <c r="AO29" s="262" t="s">
        <v>131</v>
      </c>
      <c r="AP29" s="262"/>
      <c r="AQ29" s="29" t="s">
        <v>84</v>
      </c>
      <c r="AR29" s="29" t="s">
        <v>85</v>
      </c>
    </row>
    <row r="30" spans="1:44" x14ac:dyDescent="0.2">
      <c r="A30" s="31">
        <v>28</v>
      </c>
      <c r="B30" s="30">
        <v>43290</v>
      </c>
      <c r="C30" s="30">
        <v>43296</v>
      </c>
      <c r="D30" s="28"/>
      <c r="E30" s="31">
        <v>28</v>
      </c>
      <c r="F30" s="30">
        <v>43654</v>
      </c>
      <c r="G30" s="30">
        <v>43660</v>
      </c>
      <c r="H30" s="108"/>
      <c r="I30" s="31">
        <v>28</v>
      </c>
      <c r="J30" s="30">
        <f t="shared" si="0"/>
        <v>44018</v>
      </c>
      <c r="K30" s="30">
        <f t="shared" si="1"/>
        <v>44024</v>
      </c>
      <c r="M30" s="31">
        <v>28</v>
      </c>
      <c r="N30" s="30">
        <f t="shared" si="2"/>
        <v>44382</v>
      </c>
      <c r="O30" s="30">
        <f t="shared" si="3"/>
        <v>44388</v>
      </c>
      <c r="Q30" s="31">
        <v>28</v>
      </c>
      <c r="R30" s="30">
        <f t="shared" si="4"/>
        <v>44753</v>
      </c>
      <c r="S30" s="30">
        <f t="shared" si="5"/>
        <v>44759</v>
      </c>
      <c r="U30" s="31">
        <v>28</v>
      </c>
      <c r="V30" s="30">
        <f t="shared" si="6"/>
        <v>45117</v>
      </c>
      <c r="W30" s="30">
        <f t="shared" si="7"/>
        <v>45123</v>
      </c>
      <c r="Y30" s="197">
        <v>28</v>
      </c>
      <c r="Z30" s="198">
        <f t="shared" si="8"/>
        <v>45481</v>
      </c>
      <c r="AA30" s="198">
        <f t="shared" si="9"/>
        <v>45487</v>
      </c>
      <c r="AC30" s="197">
        <v>28</v>
      </c>
      <c r="AD30" s="198">
        <f t="shared" si="10"/>
        <v>45845</v>
      </c>
      <c r="AE30" s="198">
        <f t="shared" si="11"/>
        <v>45851</v>
      </c>
      <c r="AG30" s="197">
        <v>28</v>
      </c>
      <c r="AH30" s="198">
        <f t="shared" si="12"/>
        <v>46209</v>
      </c>
      <c r="AI30" s="198">
        <f t="shared" si="13"/>
        <v>46215</v>
      </c>
      <c r="AO30" s="29">
        <v>1</v>
      </c>
      <c r="AP30" s="29" t="s">
        <v>119</v>
      </c>
      <c r="AQ30" s="30">
        <v>45292</v>
      </c>
      <c r="AR30" s="30">
        <v>45322</v>
      </c>
    </row>
    <row r="31" spans="1:44" x14ac:dyDescent="0.2">
      <c r="A31" s="31">
        <v>29</v>
      </c>
      <c r="B31" s="30">
        <v>43297</v>
      </c>
      <c r="C31" s="30">
        <v>43303</v>
      </c>
      <c r="D31" s="28"/>
      <c r="E31" s="31">
        <v>29</v>
      </c>
      <c r="F31" s="30">
        <v>43661</v>
      </c>
      <c r="G31" s="30">
        <v>43667</v>
      </c>
      <c r="H31" s="108"/>
      <c r="I31" s="31">
        <v>29</v>
      </c>
      <c r="J31" s="30">
        <f t="shared" si="0"/>
        <v>44025</v>
      </c>
      <c r="K31" s="30">
        <f t="shared" si="1"/>
        <v>44031</v>
      </c>
      <c r="M31" s="31">
        <v>29</v>
      </c>
      <c r="N31" s="30">
        <f t="shared" si="2"/>
        <v>44389</v>
      </c>
      <c r="O31" s="30">
        <f t="shared" si="3"/>
        <v>44395</v>
      </c>
      <c r="Q31" s="31">
        <v>29</v>
      </c>
      <c r="R31" s="30">
        <f t="shared" si="4"/>
        <v>44760</v>
      </c>
      <c r="S31" s="30">
        <f t="shared" si="5"/>
        <v>44766</v>
      </c>
      <c r="U31" s="31">
        <v>29</v>
      </c>
      <c r="V31" s="30">
        <f t="shared" si="6"/>
        <v>45124</v>
      </c>
      <c r="W31" s="30">
        <f t="shared" si="7"/>
        <v>45130</v>
      </c>
      <c r="Y31" s="197">
        <v>29</v>
      </c>
      <c r="Z31" s="198">
        <f t="shared" si="8"/>
        <v>45488</v>
      </c>
      <c r="AA31" s="198">
        <f t="shared" si="9"/>
        <v>45494</v>
      </c>
      <c r="AC31" s="197">
        <v>29</v>
      </c>
      <c r="AD31" s="198">
        <f t="shared" si="10"/>
        <v>45852</v>
      </c>
      <c r="AE31" s="198">
        <f t="shared" si="11"/>
        <v>45858</v>
      </c>
      <c r="AG31" s="197">
        <v>29</v>
      </c>
      <c r="AH31" s="198">
        <f t="shared" si="12"/>
        <v>46216</v>
      </c>
      <c r="AI31" s="198">
        <f t="shared" si="13"/>
        <v>46222</v>
      </c>
      <c r="AO31" s="29">
        <v>2</v>
      </c>
      <c r="AP31" s="29" t="s">
        <v>120</v>
      </c>
      <c r="AQ31" s="30">
        <v>45323</v>
      </c>
      <c r="AR31" s="30">
        <v>45350</v>
      </c>
    </row>
    <row r="32" spans="1:44" x14ac:dyDescent="0.2">
      <c r="A32" s="31">
        <v>30</v>
      </c>
      <c r="B32" s="30">
        <v>43304</v>
      </c>
      <c r="C32" s="30">
        <v>43310</v>
      </c>
      <c r="D32" s="28"/>
      <c r="E32" s="31">
        <v>30</v>
      </c>
      <c r="F32" s="30">
        <v>43668</v>
      </c>
      <c r="G32" s="30">
        <v>43674</v>
      </c>
      <c r="H32" s="108"/>
      <c r="I32" s="31">
        <v>30</v>
      </c>
      <c r="J32" s="30">
        <f t="shared" si="0"/>
        <v>44032</v>
      </c>
      <c r="K32" s="30">
        <f t="shared" si="1"/>
        <v>44038</v>
      </c>
      <c r="M32" s="31">
        <v>30</v>
      </c>
      <c r="N32" s="30">
        <f t="shared" si="2"/>
        <v>44396</v>
      </c>
      <c r="O32" s="30">
        <f t="shared" si="3"/>
        <v>44402</v>
      </c>
      <c r="Q32" s="31">
        <v>30</v>
      </c>
      <c r="R32" s="30">
        <f t="shared" si="4"/>
        <v>44767</v>
      </c>
      <c r="S32" s="30">
        <f t="shared" si="5"/>
        <v>44773</v>
      </c>
      <c r="U32" s="31">
        <v>30</v>
      </c>
      <c r="V32" s="30">
        <f t="shared" si="6"/>
        <v>45131</v>
      </c>
      <c r="W32" s="30">
        <f t="shared" si="7"/>
        <v>45137</v>
      </c>
      <c r="Y32" s="197">
        <v>30</v>
      </c>
      <c r="Z32" s="198">
        <f t="shared" si="8"/>
        <v>45495</v>
      </c>
      <c r="AA32" s="198">
        <f t="shared" si="9"/>
        <v>45501</v>
      </c>
      <c r="AC32" s="197">
        <v>30</v>
      </c>
      <c r="AD32" s="198">
        <f t="shared" si="10"/>
        <v>45859</v>
      </c>
      <c r="AE32" s="198">
        <f t="shared" si="11"/>
        <v>45865</v>
      </c>
      <c r="AG32" s="197">
        <v>30</v>
      </c>
      <c r="AH32" s="198">
        <f t="shared" si="12"/>
        <v>46223</v>
      </c>
      <c r="AI32" s="198">
        <f t="shared" si="13"/>
        <v>46229</v>
      </c>
      <c r="AO32" s="29">
        <v>3</v>
      </c>
      <c r="AP32" s="29" t="s">
        <v>121</v>
      </c>
      <c r="AQ32" s="30">
        <v>45352</v>
      </c>
      <c r="AR32" s="30">
        <v>45382</v>
      </c>
    </row>
    <row r="33" spans="1:44" x14ac:dyDescent="0.2">
      <c r="A33" s="31">
        <v>31</v>
      </c>
      <c r="B33" s="30">
        <v>43311</v>
      </c>
      <c r="C33" s="30">
        <v>43317</v>
      </c>
      <c r="D33" s="28"/>
      <c r="E33" s="31">
        <v>31</v>
      </c>
      <c r="F33" s="30">
        <v>43675</v>
      </c>
      <c r="G33" s="30">
        <v>43681</v>
      </c>
      <c r="H33" s="108"/>
      <c r="I33" s="31">
        <v>31</v>
      </c>
      <c r="J33" s="30">
        <f t="shared" si="0"/>
        <v>44039</v>
      </c>
      <c r="K33" s="30">
        <f t="shared" si="1"/>
        <v>44045</v>
      </c>
      <c r="M33" s="31">
        <v>31</v>
      </c>
      <c r="N33" s="30">
        <f t="shared" si="2"/>
        <v>44403</v>
      </c>
      <c r="O33" s="30">
        <f t="shared" si="3"/>
        <v>44409</v>
      </c>
      <c r="Q33" s="31">
        <v>31</v>
      </c>
      <c r="R33" s="30">
        <f t="shared" si="4"/>
        <v>44774</v>
      </c>
      <c r="S33" s="30">
        <f t="shared" si="5"/>
        <v>44780</v>
      </c>
      <c r="U33" s="31">
        <v>31</v>
      </c>
      <c r="V33" s="30">
        <f t="shared" si="6"/>
        <v>45138</v>
      </c>
      <c r="W33" s="30">
        <f t="shared" si="7"/>
        <v>45144</v>
      </c>
      <c r="Y33" s="197">
        <v>31</v>
      </c>
      <c r="Z33" s="198">
        <f t="shared" si="8"/>
        <v>45502</v>
      </c>
      <c r="AA33" s="198">
        <f t="shared" si="9"/>
        <v>45508</v>
      </c>
      <c r="AC33" s="197">
        <v>31</v>
      </c>
      <c r="AD33" s="198">
        <f t="shared" si="10"/>
        <v>45866</v>
      </c>
      <c r="AE33" s="198">
        <f t="shared" si="11"/>
        <v>45872</v>
      </c>
      <c r="AG33" s="197">
        <v>31</v>
      </c>
      <c r="AH33" s="198">
        <f t="shared" si="12"/>
        <v>46230</v>
      </c>
      <c r="AI33" s="198">
        <f t="shared" si="13"/>
        <v>46236</v>
      </c>
      <c r="AO33" s="29">
        <v>4</v>
      </c>
      <c r="AP33" s="29" t="s">
        <v>122</v>
      </c>
      <c r="AQ33" s="30">
        <v>45383</v>
      </c>
      <c r="AR33" s="30">
        <v>45412</v>
      </c>
    </row>
    <row r="34" spans="1:44" x14ac:dyDescent="0.2">
      <c r="A34" s="31">
        <v>32</v>
      </c>
      <c r="B34" s="30">
        <v>43318</v>
      </c>
      <c r="C34" s="30">
        <v>43324</v>
      </c>
      <c r="D34" s="28"/>
      <c r="E34" s="31">
        <v>32</v>
      </c>
      <c r="F34" s="30">
        <v>43682</v>
      </c>
      <c r="G34" s="30">
        <v>43688</v>
      </c>
      <c r="H34" s="108"/>
      <c r="I34" s="31">
        <v>32</v>
      </c>
      <c r="J34" s="30">
        <f t="shared" si="0"/>
        <v>44046</v>
      </c>
      <c r="K34" s="30">
        <f t="shared" si="1"/>
        <v>44052</v>
      </c>
      <c r="M34" s="31">
        <v>32</v>
      </c>
      <c r="N34" s="30">
        <f t="shared" si="2"/>
        <v>44410</v>
      </c>
      <c r="O34" s="30">
        <f t="shared" si="3"/>
        <v>44416</v>
      </c>
      <c r="Q34" s="31">
        <v>32</v>
      </c>
      <c r="R34" s="30">
        <f t="shared" si="4"/>
        <v>44781</v>
      </c>
      <c r="S34" s="30">
        <f t="shared" si="5"/>
        <v>44787</v>
      </c>
      <c r="U34" s="31">
        <v>32</v>
      </c>
      <c r="V34" s="30">
        <f t="shared" si="6"/>
        <v>45145</v>
      </c>
      <c r="W34" s="30">
        <f t="shared" si="7"/>
        <v>45151</v>
      </c>
      <c r="Y34" s="197">
        <v>32</v>
      </c>
      <c r="Z34" s="198">
        <f t="shared" si="8"/>
        <v>45509</v>
      </c>
      <c r="AA34" s="198">
        <f t="shared" si="9"/>
        <v>45515</v>
      </c>
      <c r="AC34" s="197">
        <v>32</v>
      </c>
      <c r="AD34" s="198">
        <f t="shared" si="10"/>
        <v>45873</v>
      </c>
      <c r="AE34" s="198">
        <f t="shared" si="11"/>
        <v>45879</v>
      </c>
      <c r="AG34" s="197">
        <v>32</v>
      </c>
      <c r="AH34" s="198">
        <f t="shared" si="12"/>
        <v>46237</v>
      </c>
      <c r="AI34" s="198">
        <f t="shared" si="13"/>
        <v>46243</v>
      </c>
      <c r="AO34" s="29">
        <v>5</v>
      </c>
      <c r="AP34" s="29" t="s">
        <v>123</v>
      </c>
      <c r="AQ34" s="30">
        <v>45413</v>
      </c>
      <c r="AR34" s="30">
        <v>45443</v>
      </c>
    </row>
    <row r="35" spans="1:44" x14ac:dyDescent="0.2">
      <c r="A35" s="31">
        <v>33</v>
      </c>
      <c r="B35" s="30">
        <v>43325</v>
      </c>
      <c r="C35" s="30">
        <v>43331</v>
      </c>
      <c r="D35" s="28"/>
      <c r="E35" s="31">
        <v>33</v>
      </c>
      <c r="F35" s="30">
        <v>43689</v>
      </c>
      <c r="G35" s="30">
        <v>43695</v>
      </c>
      <c r="H35" s="108"/>
      <c r="I35" s="31">
        <v>33</v>
      </c>
      <c r="J35" s="30">
        <f t="shared" si="0"/>
        <v>44053</v>
      </c>
      <c r="K35" s="30">
        <f t="shared" si="1"/>
        <v>44059</v>
      </c>
      <c r="M35" s="31">
        <v>33</v>
      </c>
      <c r="N35" s="30">
        <f t="shared" si="2"/>
        <v>44417</v>
      </c>
      <c r="O35" s="30">
        <f t="shared" si="3"/>
        <v>44423</v>
      </c>
      <c r="Q35" s="31">
        <v>33</v>
      </c>
      <c r="R35" s="30">
        <f t="shared" si="4"/>
        <v>44788</v>
      </c>
      <c r="S35" s="30">
        <f t="shared" si="5"/>
        <v>44794</v>
      </c>
      <c r="U35" s="31">
        <v>33</v>
      </c>
      <c r="V35" s="30">
        <f t="shared" si="6"/>
        <v>45152</v>
      </c>
      <c r="W35" s="30">
        <f t="shared" si="7"/>
        <v>45158</v>
      </c>
      <c r="Y35" s="197">
        <v>33</v>
      </c>
      <c r="Z35" s="198">
        <f t="shared" si="8"/>
        <v>45516</v>
      </c>
      <c r="AA35" s="198">
        <f t="shared" si="9"/>
        <v>45522</v>
      </c>
      <c r="AC35" s="197">
        <v>33</v>
      </c>
      <c r="AD35" s="198">
        <f t="shared" si="10"/>
        <v>45880</v>
      </c>
      <c r="AE35" s="198">
        <f t="shared" si="11"/>
        <v>45886</v>
      </c>
      <c r="AG35" s="197">
        <v>33</v>
      </c>
      <c r="AH35" s="198">
        <f t="shared" si="12"/>
        <v>46244</v>
      </c>
      <c r="AI35" s="198">
        <f t="shared" si="13"/>
        <v>46250</v>
      </c>
      <c r="AO35" s="29">
        <v>6</v>
      </c>
      <c r="AP35" s="29" t="s">
        <v>124</v>
      </c>
      <c r="AQ35" s="30">
        <v>45444</v>
      </c>
      <c r="AR35" s="30">
        <v>45473</v>
      </c>
    </row>
    <row r="36" spans="1:44" x14ac:dyDescent="0.2">
      <c r="A36" s="31">
        <v>34</v>
      </c>
      <c r="B36" s="30">
        <v>43332</v>
      </c>
      <c r="C36" s="30">
        <v>43338</v>
      </c>
      <c r="D36" s="28"/>
      <c r="E36" s="31">
        <v>34</v>
      </c>
      <c r="F36" s="30">
        <v>43696</v>
      </c>
      <c r="G36" s="30">
        <v>43702</v>
      </c>
      <c r="H36" s="108"/>
      <c r="I36" s="31">
        <v>34</v>
      </c>
      <c r="J36" s="30">
        <f t="shared" si="0"/>
        <v>44060</v>
      </c>
      <c r="K36" s="30">
        <f t="shared" si="1"/>
        <v>44066</v>
      </c>
      <c r="M36" s="31">
        <v>34</v>
      </c>
      <c r="N36" s="30">
        <f t="shared" si="2"/>
        <v>44424</v>
      </c>
      <c r="O36" s="30">
        <f t="shared" si="3"/>
        <v>44430</v>
      </c>
      <c r="Q36" s="31">
        <v>34</v>
      </c>
      <c r="R36" s="30">
        <f t="shared" si="4"/>
        <v>44795</v>
      </c>
      <c r="S36" s="30">
        <f t="shared" si="5"/>
        <v>44801</v>
      </c>
      <c r="U36" s="31">
        <v>34</v>
      </c>
      <c r="V36" s="30">
        <f t="shared" si="6"/>
        <v>45159</v>
      </c>
      <c r="W36" s="30">
        <f t="shared" si="7"/>
        <v>45165</v>
      </c>
      <c r="Y36" s="197">
        <v>34</v>
      </c>
      <c r="Z36" s="198">
        <f t="shared" si="8"/>
        <v>45523</v>
      </c>
      <c r="AA36" s="198">
        <f t="shared" si="9"/>
        <v>45529</v>
      </c>
      <c r="AC36" s="197">
        <v>34</v>
      </c>
      <c r="AD36" s="198">
        <f t="shared" si="10"/>
        <v>45887</v>
      </c>
      <c r="AE36" s="198">
        <f t="shared" si="11"/>
        <v>45893</v>
      </c>
      <c r="AG36" s="197">
        <v>34</v>
      </c>
      <c r="AH36" s="198">
        <f t="shared" si="12"/>
        <v>46251</v>
      </c>
      <c r="AI36" s="198">
        <f t="shared" si="13"/>
        <v>46257</v>
      </c>
      <c r="AO36" s="29">
        <v>7</v>
      </c>
      <c r="AP36" s="29" t="s">
        <v>125</v>
      </c>
      <c r="AQ36" s="30">
        <v>45474</v>
      </c>
      <c r="AR36" s="30">
        <v>45504</v>
      </c>
    </row>
    <row r="37" spans="1:44" x14ac:dyDescent="0.2">
      <c r="A37" s="31">
        <v>35</v>
      </c>
      <c r="B37" s="30">
        <v>43339</v>
      </c>
      <c r="C37" s="30">
        <v>43345</v>
      </c>
      <c r="D37" s="28"/>
      <c r="E37" s="31">
        <v>35</v>
      </c>
      <c r="F37" s="30">
        <v>43703</v>
      </c>
      <c r="G37" s="30">
        <v>43709</v>
      </c>
      <c r="H37" s="108"/>
      <c r="I37" s="31">
        <v>35</v>
      </c>
      <c r="J37" s="30">
        <f t="shared" si="0"/>
        <v>44067</v>
      </c>
      <c r="K37" s="30">
        <f t="shared" si="1"/>
        <v>44073</v>
      </c>
      <c r="M37" s="31">
        <v>35</v>
      </c>
      <c r="N37" s="30">
        <f t="shared" si="2"/>
        <v>44431</v>
      </c>
      <c r="O37" s="30">
        <f t="shared" si="3"/>
        <v>44437</v>
      </c>
      <c r="Q37" s="31">
        <v>35</v>
      </c>
      <c r="R37" s="30">
        <f t="shared" si="4"/>
        <v>44802</v>
      </c>
      <c r="S37" s="30">
        <f t="shared" si="5"/>
        <v>44808</v>
      </c>
      <c r="U37" s="31">
        <v>35</v>
      </c>
      <c r="V37" s="30">
        <f t="shared" si="6"/>
        <v>45166</v>
      </c>
      <c r="W37" s="30">
        <f t="shared" si="7"/>
        <v>45172</v>
      </c>
      <c r="Y37" s="197">
        <v>35</v>
      </c>
      <c r="Z37" s="198">
        <f t="shared" si="8"/>
        <v>45530</v>
      </c>
      <c r="AA37" s="198">
        <f t="shared" si="9"/>
        <v>45536</v>
      </c>
      <c r="AC37" s="197">
        <v>35</v>
      </c>
      <c r="AD37" s="198">
        <f t="shared" si="10"/>
        <v>45894</v>
      </c>
      <c r="AE37" s="198">
        <f t="shared" si="11"/>
        <v>45900</v>
      </c>
      <c r="AG37" s="197">
        <v>35</v>
      </c>
      <c r="AH37" s="198">
        <f t="shared" si="12"/>
        <v>46258</v>
      </c>
      <c r="AI37" s="198">
        <f t="shared" si="13"/>
        <v>46264</v>
      </c>
      <c r="AO37" s="29">
        <v>8</v>
      </c>
      <c r="AP37" s="29" t="s">
        <v>126</v>
      </c>
      <c r="AQ37" s="30">
        <v>45505</v>
      </c>
      <c r="AR37" s="30">
        <v>45535</v>
      </c>
    </row>
    <row r="38" spans="1:44" x14ac:dyDescent="0.2">
      <c r="A38" s="31">
        <v>36</v>
      </c>
      <c r="B38" s="30">
        <v>43346</v>
      </c>
      <c r="C38" s="30">
        <v>43352</v>
      </c>
      <c r="D38" s="28"/>
      <c r="E38" s="31">
        <v>36</v>
      </c>
      <c r="F38" s="30">
        <v>43710</v>
      </c>
      <c r="G38" s="30">
        <v>43716</v>
      </c>
      <c r="H38" s="108"/>
      <c r="I38" s="31">
        <v>36</v>
      </c>
      <c r="J38" s="30">
        <f t="shared" si="0"/>
        <v>44074</v>
      </c>
      <c r="K38" s="30">
        <f t="shared" si="1"/>
        <v>44080</v>
      </c>
      <c r="M38" s="31">
        <v>36</v>
      </c>
      <c r="N38" s="30">
        <f t="shared" si="2"/>
        <v>44438</v>
      </c>
      <c r="O38" s="30">
        <f t="shared" si="3"/>
        <v>44444</v>
      </c>
      <c r="Q38" s="31">
        <v>36</v>
      </c>
      <c r="R38" s="30">
        <f t="shared" si="4"/>
        <v>44809</v>
      </c>
      <c r="S38" s="30">
        <f t="shared" si="5"/>
        <v>44815</v>
      </c>
      <c r="U38" s="31">
        <v>36</v>
      </c>
      <c r="V38" s="30">
        <f t="shared" si="6"/>
        <v>45173</v>
      </c>
      <c r="W38" s="30">
        <f t="shared" si="7"/>
        <v>45179</v>
      </c>
      <c r="Y38" s="197">
        <v>36</v>
      </c>
      <c r="Z38" s="198">
        <f t="shared" si="8"/>
        <v>45537</v>
      </c>
      <c r="AA38" s="198">
        <f t="shared" si="9"/>
        <v>45543</v>
      </c>
      <c r="AC38" s="197">
        <v>36</v>
      </c>
      <c r="AD38" s="198">
        <f t="shared" si="10"/>
        <v>45901</v>
      </c>
      <c r="AE38" s="198">
        <f t="shared" si="11"/>
        <v>45907</v>
      </c>
      <c r="AG38" s="197">
        <v>36</v>
      </c>
      <c r="AH38" s="198">
        <f t="shared" si="12"/>
        <v>46265</v>
      </c>
      <c r="AI38" s="198">
        <f t="shared" si="13"/>
        <v>46271</v>
      </c>
      <c r="AO38" s="29">
        <v>9</v>
      </c>
      <c r="AP38" s="29" t="s">
        <v>127</v>
      </c>
      <c r="AQ38" s="30">
        <v>45536</v>
      </c>
      <c r="AR38" s="30">
        <v>45565</v>
      </c>
    </row>
    <row r="39" spans="1:44" x14ac:dyDescent="0.2">
      <c r="A39" s="31">
        <v>37</v>
      </c>
      <c r="B39" s="30">
        <v>43353</v>
      </c>
      <c r="C39" s="30">
        <v>43359</v>
      </c>
      <c r="D39" s="28"/>
      <c r="E39" s="31">
        <v>37</v>
      </c>
      <c r="F39" s="30">
        <v>43717</v>
      </c>
      <c r="G39" s="30">
        <v>43723</v>
      </c>
      <c r="H39" s="108"/>
      <c r="I39" s="31">
        <v>37</v>
      </c>
      <c r="J39" s="30">
        <f t="shared" si="0"/>
        <v>44081</v>
      </c>
      <c r="K39" s="30">
        <f t="shared" si="1"/>
        <v>44087</v>
      </c>
      <c r="M39" s="31">
        <v>37</v>
      </c>
      <c r="N39" s="30">
        <f t="shared" si="2"/>
        <v>44445</v>
      </c>
      <c r="O39" s="30">
        <f t="shared" si="3"/>
        <v>44451</v>
      </c>
      <c r="Q39" s="31">
        <v>37</v>
      </c>
      <c r="R39" s="30">
        <f t="shared" si="4"/>
        <v>44816</v>
      </c>
      <c r="S39" s="30">
        <f t="shared" si="5"/>
        <v>44822</v>
      </c>
      <c r="U39" s="31">
        <v>37</v>
      </c>
      <c r="V39" s="30">
        <f t="shared" si="6"/>
        <v>45180</v>
      </c>
      <c r="W39" s="30">
        <f t="shared" si="7"/>
        <v>45186</v>
      </c>
      <c r="Y39" s="197">
        <v>37</v>
      </c>
      <c r="Z39" s="198">
        <f t="shared" si="8"/>
        <v>45544</v>
      </c>
      <c r="AA39" s="198">
        <f t="shared" si="9"/>
        <v>45550</v>
      </c>
      <c r="AC39" s="197">
        <v>37</v>
      </c>
      <c r="AD39" s="198">
        <f t="shared" si="10"/>
        <v>45908</v>
      </c>
      <c r="AE39" s="198">
        <f t="shared" si="11"/>
        <v>45914</v>
      </c>
      <c r="AG39" s="197">
        <v>37</v>
      </c>
      <c r="AH39" s="198">
        <f t="shared" si="12"/>
        <v>46272</v>
      </c>
      <c r="AI39" s="198">
        <f t="shared" si="13"/>
        <v>46278</v>
      </c>
      <c r="AO39" s="29">
        <v>10</v>
      </c>
      <c r="AP39" s="29" t="s">
        <v>128</v>
      </c>
      <c r="AQ39" s="30">
        <v>45566</v>
      </c>
      <c r="AR39" s="30">
        <v>45596</v>
      </c>
    </row>
    <row r="40" spans="1:44" x14ac:dyDescent="0.2">
      <c r="A40" s="31">
        <v>38</v>
      </c>
      <c r="B40" s="30">
        <v>43360</v>
      </c>
      <c r="C40" s="30">
        <v>43366</v>
      </c>
      <c r="D40" s="28"/>
      <c r="E40" s="31">
        <v>38</v>
      </c>
      <c r="F40" s="30">
        <v>43724</v>
      </c>
      <c r="G40" s="30">
        <v>43730</v>
      </c>
      <c r="H40" s="108"/>
      <c r="I40" s="31">
        <v>38</v>
      </c>
      <c r="J40" s="30">
        <f t="shared" si="0"/>
        <v>44088</v>
      </c>
      <c r="K40" s="30">
        <f t="shared" si="1"/>
        <v>44094</v>
      </c>
      <c r="M40" s="31">
        <v>38</v>
      </c>
      <c r="N40" s="30">
        <f t="shared" si="2"/>
        <v>44452</v>
      </c>
      <c r="O40" s="30">
        <f t="shared" si="3"/>
        <v>44458</v>
      </c>
      <c r="Q40" s="31">
        <v>38</v>
      </c>
      <c r="R40" s="30">
        <f t="shared" si="4"/>
        <v>44823</v>
      </c>
      <c r="S40" s="30">
        <f t="shared" si="5"/>
        <v>44829</v>
      </c>
      <c r="U40" s="31">
        <v>38</v>
      </c>
      <c r="V40" s="30">
        <f t="shared" si="6"/>
        <v>45187</v>
      </c>
      <c r="W40" s="30">
        <f t="shared" si="7"/>
        <v>45193</v>
      </c>
      <c r="Y40" s="197">
        <v>38</v>
      </c>
      <c r="Z40" s="198">
        <f t="shared" si="8"/>
        <v>45551</v>
      </c>
      <c r="AA40" s="198">
        <f t="shared" si="9"/>
        <v>45557</v>
      </c>
      <c r="AC40" s="197">
        <v>38</v>
      </c>
      <c r="AD40" s="198">
        <f t="shared" si="10"/>
        <v>45915</v>
      </c>
      <c r="AE40" s="198">
        <f t="shared" si="11"/>
        <v>45921</v>
      </c>
      <c r="AG40" s="197">
        <v>38</v>
      </c>
      <c r="AH40" s="198">
        <f t="shared" si="12"/>
        <v>46279</v>
      </c>
      <c r="AI40" s="198">
        <f t="shared" si="13"/>
        <v>46285</v>
      </c>
      <c r="AO40" s="29">
        <v>11</v>
      </c>
      <c r="AP40" s="29" t="s">
        <v>129</v>
      </c>
      <c r="AQ40" s="30">
        <v>45597</v>
      </c>
      <c r="AR40" s="30">
        <v>45626</v>
      </c>
    </row>
    <row r="41" spans="1:44" x14ac:dyDescent="0.2">
      <c r="A41" s="31">
        <v>39</v>
      </c>
      <c r="B41" s="30">
        <v>43367</v>
      </c>
      <c r="C41" s="30">
        <v>43373</v>
      </c>
      <c r="D41" s="28"/>
      <c r="E41" s="31">
        <v>39</v>
      </c>
      <c r="F41" s="30">
        <v>43731</v>
      </c>
      <c r="G41" s="30">
        <v>43737</v>
      </c>
      <c r="H41" s="108"/>
      <c r="I41" s="31">
        <v>39</v>
      </c>
      <c r="J41" s="30">
        <f t="shared" si="0"/>
        <v>44095</v>
      </c>
      <c r="K41" s="30">
        <f t="shared" si="1"/>
        <v>44101</v>
      </c>
      <c r="M41" s="31">
        <v>39</v>
      </c>
      <c r="N41" s="30">
        <f t="shared" si="2"/>
        <v>44459</v>
      </c>
      <c r="O41" s="30">
        <f t="shared" si="3"/>
        <v>44465</v>
      </c>
      <c r="Q41" s="31">
        <v>39</v>
      </c>
      <c r="R41" s="30">
        <f t="shared" si="4"/>
        <v>44830</v>
      </c>
      <c r="S41" s="30">
        <f t="shared" si="5"/>
        <v>44836</v>
      </c>
      <c r="U41" s="31">
        <v>39</v>
      </c>
      <c r="V41" s="30">
        <f t="shared" si="6"/>
        <v>45194</v>
      </c>
      <c r="W41" s="30">
        <f t="shared" si="7"/>
        <v>45200</v>
      </c>
      <c r="Y41" s="197">
        <v>39</v>
      </c>
      <c r="Z41" s="198">
        <f t="shared" si="8"/>
        <v>45558</v>
      </c>
      <c r="AA41" s="198">
        <f t="shared" si="9"/>
        <v>45564</v>
      </c>
      <c r="AC41" s="197">
        <v>39</v>
      </c>
      <c r="AD41" s="198">
        <f t="shared" si="10"/>
        <v>45922</v>
      </c>
      <c r="AE41" s="198">
        <f t="shared" si="11"/>
        <v>45928</v>
      </c>
      <c r="AG41" s="197">
        <v>39</v>
      </c>
      <c r="AH41" s="198">
        <f t="shared" si="12"/>
        <v>46286</v>
      </c>
      <c r="AI41" s="198">
        <f t="shared" si="13"/>
        <v>46292</v>
      </c>
      <c r="AO41" s="29">
        <v>12</v>
      </c>
      <c r="AP41" s="29" t="s">
        <v>130</v>
      </c>
      <c r="AQ41" s="30">
        <v>45627</v>
      </c>
      <c r="AR41" s="30">
        <v>45657</v>
      </c>
    </row>
    <row r="42" spans="1:44" x14ac:dyDescent="0.2">
      <c r="A42" s="31">
        <v>40</v>
      </c>
      <c r="B42" s="30">
        <v>43374</v>
      </c>
      <c r="C42" s="30">
        <v>43380</v>
      </c>
      <c r="D42" s="28"/>
      <c r="E42" s="31">
        <v>40</v>
      </c>
      <c r="F42" s="30">
        <v>43738</v>
      </c>
      <c r="G42" s="30">
        <v>43744</v>
      </c>
      <c r="H42" s="108"/>
      <c r="I42" s="31">
        <v>40</v>
      </c>
      <c r="J42" s="30">
        <f t="shared" si="0"/>
        <v>44102</v>
      </c>
      <c r="K42" s="30">
        <f t="shared" si="1"/>
        <v>44108</v>
      </c>
      <c r="M42" s="31">
        <v>40</v>
      </c>
      <c r="N42" s="30">
        <f t="shared" si="2"/>
        <v>44466</v>
      </c>
      <c r="O42" s="30">
        <f t="shared" si="3"/>
        <v>44472</v>
      </c>
      <c r="Q42" s="31">
        <v>40</v>
      </c>
      <c r="R42" s="30">
        <f t="shared" si="4"/>
        <v>44837</v>
      </c>
      <c r="S42" s="30">
        <f t="shared" si="5"/>
        <v>44843</v>
      </c>
      <c r="U42" s="31">
        <v>40</v>
      </c>
      <c r="V42" s="30">
        <f t="shared" si="6"/>
        <v>45201</v>
      </c>
      <c r="W42" s="30">
        <f t="shared" si="7"/>
        <v>45207</v>
      </c>
      <c r="Y42" s="197">
        <v>40</v>
      </c>
      <c r="Z42" s="198">
        <f t="shared" si="8"/>
        <v>45565</v>
      </c>
      <c r="AA42" s="198">
        <f t="shared" si="9"/>
        <v>45571</v>
      </c>
      <c r="AC42" s="197">
        <v>40</v>
      </c>
      <c r="AD42" s="198">
        <f t="shared" si="10"/>
        <v>45929</v>
      </c>
      <c r="AE42" s="198">
        <f t="shared" si="11"/>
        <v>45935</v>
      </c>
      <c r="AG42" s="197">
        <v>40</v>
      </c>
      <c r="AH42" s="198">
        <f t="shared" si="12"/>
        <v>46293</v>
      </c>
      <c r="AI42" s="198">
        <f t="shared" si="13"/>
        <v>46299</v>
      </c>
    </row>
    <row r="43" spans="1:44" x14ac:dyDescent="0.2">
      <c r="A43" s="31">
        <v>41</v>
      </c>
      <c r="B43" s="30">
        <v>43381</v>
      </c>
      <c r="C43" s="30">
        <v>43387</v>
      </c>
      <c r="D43" s="28"/>
      <c r="E43" s="31">
        <v>41</v>
      </c>
      <c r="F43" s="30">
        <v>43745</v>
      </c>
      <c r="G43" s="30">
        <v>43751</v>
      </c>
      <c r="H43" s="108"/>
      <c r="I43" s="31">
        <v>41</v>
      </c>
      <c r="J43" s="30">
        <f t="shared" si="0"/>
        <v>44109</v>
      </c>
      <c r="K43" s="30">
        <f t="shared" si="1"/>
        <v>44115</v>
      </c>
      <c r="M43" s="31">
        <v>41</v>
      </c>
      <c r="N43" s="30">
        <f t="shared" si="2"/>
        <v>44473</v>
      </c>
      <c r="O43" s="30">
        <f t="shared" si="3"/>
        <v>44479</v>
      </c>
      <c r="Q43" s="31">
        <v>41</v>
      </c>
      <c r="R43" s="30">
        <f t="shared" si="4"/>
        <v>44844</v>
      </c>
      <c r="S43" s="30">
        <f t="shared" si="5"/>
        <v>44850</v>
      </c>
      <c r="U43" s="31">
        <v>41</v>
      </c>
      <c r="V43" s="30">
        <f t="shared" si="6"/>
        <v>45208</v>
      </c>
      <c r="W43" s="30">
        <f t="shared" si="7"/>
        <v>45214</v>
      </c>
      <c r="Y43" s="197">
        <v>41</v>
      </c>
      <c r="Z43" s="198">
        <f t="shared" si="8"/>
        <v>45572</v>
      </c>
      <c r="AA43" s="198">
        <f t="shared" si="9"/>
        <v>45578</v>
      </c>
      <c r="AC43" s="197">
        <v>41</v>
      </c>
      <c r="AD43" s="198">
        <f t="shared" si="10"/>
        <v>45936</v>
      </c>
      <c r="AE43" s="198">
        <f t="shared" si="11"/>
        <v>45942</v>
      </c>
      <c r="AG43" s="197">
        <v>41</v>
      </c>
      <c r="AH43" s="198">
        <f t="shared" si="12"/>
        <v>46300</v>
      </c>
      <c r="AI43" s="198">
        <f t="shared" si="13"/>
        <v>46306</v>
      </c>
      <c r="AO43" s="262" t="s">
        <v>131</v>
      </c>
      <c r="AP43" s="262"/>
      <c r="AQ43" s="29" t="s">
        <v>84</v>
      </c>
      <c r="AR43" s="29" t="s">
        <v>85</v>
      </c>
    </row>
    <row r="44" spans="1:44" x14ac:dyDescent="0.2">
      <c r="A44" s="31">
        <v>42</v>
      </c>
      <c r="B44" s="30">
        <v>43388</v>
      </c>
      <c r="C44" s="30">
        <v>43394</v>
      </c>
      <c r="D44" s="28"/>
      <c r="E44" s="31">
        <v>42</v>
      </c>
      <c r="F44" s="30">
        <v>43752</v>
      </c>
      <c r="G44" s="30">
        <v>43758</v>
      </c>
      <c r="H44" s="108"/>
      <c r="I44" s="31">
        <v>42</v>
      </c>
      <c r="J44" s="30">
        <f t="shared" si="0"/>
        <v>44116</v>
      </c>
      <c r="K44" s="30">
        <f t="shared" si="1"/>
        <v>44122</v>
      </c>
      <c r="M44" s="31">
        <v>42</v>
      </c>
      <c r="N44" s="30">
        <f t="shared" si="2"/>
        <v>44480</v>
      </c>
      <c r="O44" s="30">
        <f t="shared" si="3"/>
        <v>44486</v>
      </c>
      <c r="Q44" s="31">
        <v>42</v>
      </c>
      <c r="R44" s="30">
        <f t="shared" si="4"/>
        <v>44851</v>
      </c>
      <c r="S44" s="30">
        <f t="shared" si="5"/>
        <v>44857</v>
      </c>
      <c r="U44" s="31">
        <v>42</v>
      </c>
      <c r="V44" s="30">
        <f t="shared" si="6"/>
        <v>45215</v>
      </c>
      <c r="W44" s="30">
        <f t="shared" si="7"/>
        <v>45221</v>
      </c>
      <c r="Y44" s="197">
        <v>42</v>
      </c>
      <c r="Z44" s="198">
        <f t="shared" si="8"/>
        <v>45579</v>
      </c>
      <c r="AA44" s="198">
        <f t="shared" si="9"/>
        <v>45585</v>
      </c>
      <c r="AC44" s="197">
        <v>42</v>
      </c>
      <c r="AD44" s="198">
        <f t="shared" si="10"/>
        <v>45943</v>
      </c>
      <c r="AE44" s="198">
        <f t="shared" si="11"/>
        <v>45949</v>
      </c>
      <c r="AG44" s="197">
        <v>42</v>
      </c>
      <c r="AH44" s="198">
        <f t="shared" si="12"/>
        <v>46307</v>
      </c>
      <c r="AI44" s="198">
        <f t="shared" si="13"/>
        <v>46313</v>
      </c>
      <c r="AO44" s="29">
        <v>1</v>
      </c>
      <c r="AP44" s="29" t="s">
        <v>119</v>
      </c>
      <c r="AQ44" s="30">
        <v>45658</v>
      </c>
      <c r="AR44" s="30">
        <v>45688</v>
      </c>
    </row>
    <row r="45" spans="1:44" x14ac:dyDescent="0.2">
      <c r="A45" s="31">
        <v>43</v>
      </c>
      <c r="B45" s="30">
        <v>43395</v>
      </c>
      <c r="C45" s="30">
        <v>43401</v>
      </c>
      <c r="D45" s="28"/>
      <c r="E45" s="31">
        <v>43</v>
      </c>
      <c r="F45" s="30">
        <v>43759</v>
      </c>
      <c r="G45" s="30">
        <v>43765</v>
      </c>
      <c r="H45" s="108"/>
      <c r="I45" s="31">
        <v>43</v>
      </c>
      <c r="J45" s="30">
        <f t="shared" si="0"/>
        <v>44123</v>
      </c>
      <c r="K45" s="30">
        <f t="shared" si="1"/>
        <v>44129</v>
      </c>
      <c r="M45" s="31">
        <v>43</v>
      </c>
      <c r="N45" s="30">
        <f t="shared" si="2"/>
        <v>44487</v>
      </c>
      <c r="O45" s="30">
        <f t="shared" si="3"/>
        <v>44493</v>
      </c>
      <c r="Q45" s="31">
        <v>43</v>
      </c>
      <c r="R45" s="30">
        <f t="shared" si="4"/>
        <v>44858</v>
      </c>
      <c r="S45" s="30">
        <f t="shared" si="5"/>
        <v>44864</v>
      </c>
      <c r="U45" s="31">
        <v>43</v>
      </c>
      <c r="V45" s="30">
        <f t="shared" si="6"/>
        <v>45222</v>
      </c>
      <c r="W45" s="30">
        <f t="shared" si="7"/>
        <v>45228</v>
      </c>
      <c r="Y45" s="197">
        <v>43</v>
      </c>
      <c r="Z45" s="198">
        <f t="shared" si="8"/>
        <v>45586</v>
      </c>
      <c r="AA45" s="198">
        <f t="shared" si="9"/>
        <v>45592</v>
      </c>
      <c r="AC45" s="197">
        <v>43</v>
      </c>
      <c r="AD45" s="198">
        <f t="shared" si="10"/>
        <v>45950</v>
      </c>
      <c r="AE45" s="198">
        <f t="shared" si="11"/>
        <v>45956</v>
      </c>
      <c r="AG45" s="197">
        <v>43</v>
      </c>
      <c r="AH45" s="198">
        <f t="shared" si="12"/>
        <v>46314</v>
      </c>
      <c r="AI45" s="198">
        <f t="shared" si="13"/>
        <v>46320</v>
      </c>
      <c r="AO45" s="29">
        <v>2</v>
      </c>
      <c r="AP45" s="29" t="s">
        <v>120</v>
      </c>
      <c r="AQ45" s="30">
        <v>45689</v>
      </c>
      <c r="AR45" s="30">
        <v>45716</v>
      </c>
    </row>
    <row r="46" spans="1:44" x14ac:dyDescent="0.2">
      <c r="A46" s="31">
        <v>44</v>
      </c>
      <c r="B46" s="30">
        <v>43402</v>
      </c>
      <c r="C46" s="30">
        <v>43408</v>
      </c>
      <c r="D46" s="28"/>
      <c r="E46" s="31">
        <v>44</v>
      </c>
      <c r="F46" s="30">
        <v>43766</v>
      </c>
      <c r="G46" s="30">
        <v>43772</v>
      </c>
      <c r="H46" s="108"/>
      <c r="I46" s="31">
        <v>44</v>
      </c>
      <c r="J46" s="30">
        <f t="shared" si="0"/>
        <v>44130</v>
      </c>
      <c r="K46" s="30">
        <f t="shared" si="1"/>
        <v>44136</v>
      </c>
      <c r="M46" s="31">
        <v>44</v>
      </c>
      <c r="N46" s="30">
        <f t="shared" si="2"/>
        <v>44494</v>
      </c>
      <c r="O46" s="30">
        <f t="shared" si="3"/>
        <v>44500</v>
      </c>
      <c r="Q46" s="31">
        <v>44</v>
      </c>
      <c r="R46" s="30">
        <f t="shared" si="4"/>
        <v>44865</v>
      </c>
      <c r="S46" s="30">
        <f t="shared" si="5"/>
        <v>44871</v>
      </c>
      <c r="U46" s="31">
        <v>44</v>
      </c>
      <c r="V46" s="30">
        <f t="shared" si="6"/>
        <v>45229</v>
      </c>
      <c r="W46" s="30">
        <f t="shared" si="7"/>
        <v>45235</v>
      </c>
      <c r="Y46" s="197">
        <v>44</v>
      </c>
      <c r="Z46" s="198">
        <f t="shared" si="8"/>
        <v>45593</v>
      </c>
      <c r="AA46" s="198">
        <f t="shared" si="9"/>
        <v>45599</v>
      </c>
      <c r="AC46" s="197">
        <v>44</v>
      </c>
      <c r="AD46" s="198">
        <f t="shared" si="10"/>
        <v>45957</v>
      </c>
      <c r="AE46" s="198">
        <f t="shared" si="11"/>
        <v>45963</v>
      </c>
      <c r="AG46" s="197">
        <v>44</v>
      </c>
      <c r="AH46" s="198">
        <f t="shared" si="12"/>
        <v>46321</v>
      </c>
      <c r="AI46" s="198">
        <f t="shared" si="13"/>
        <v>46327</v>
      </c>
      <c r="AO46" s="29">
        <v>3</v>
      </c>
      <c r="AP46" s="29" t="s">
        <v>121</v>
      </c>
      <c r="AQ46" s="30">
        <v>45717</v>
      </c>
      <c r="AR46" s="30">
        <v>45747</v>
      </c>
    </row>
    <row r="47" spans="1:44" x14ac:dyDescent="0.2">
      <c r="A47" s="31">
        <v>45</v>
      </c>
      <c r="B47" s="30">
        <v>43409</v>
      </c>
      <c r="C47" s="30">
        <v>43415</v>
      </c>
      <c r="D47" s="28"/>
      <c r="E47" s="31">
        <v>45</v>
      </c>
      <c r="F47" s="30">
        <v>43773</v>
      </c>
      <c r="G47" s="30">
        <v>43779</v>
      </c>
      <c r="H47" s="108"/>
      <c r="I47" s="31">
        <v>45</v>
      </c>
      <c r="J47" s="30">
        <f t="shared" si="0"/>
        <v>44137</v>
      </c>
      <c r="K47" s="30">
        <f t="shared" si="1"/>
        <v>44143</v>
      </c>
      <c r="M47" s="31">
        <v>45</v>
      </c>
      <c r="N47" s="30">
        <f t="shared" si="2"/>
        <v>44501</v>
      </c>
      <c r="O47" s="30">
        <f t="shared" si="3"/>
        <v>44507</v>
      </c>
      <c r="Q47" s="31">
        <v>45</v>
      </c>
      <c r="R47" s="30">
        <f t="shared" si="4"/>
        <v>44872</v>
      </c>
      <c r="S47" s="30">
        <f t="shared" si="5"/>
        <v>44878</v>
      </c>
      <c r="U47" s="31">
        <v>45</v>
      </c>
      <c r="V47" s="30">
        <f t="shared" si="6"/>
        <v>45236</v>
      </c>
      <c r="W47" s="30">
        <f t="shared" si="7"/>
        <v>45242</v>
      </c>
      <c r="Y47" s="197">
        <v>45</v>
      </c>
      <c r="Z47" s="198">
        <f t="shared" si="8"/>
        <v>45600</v>
      </c>
      <c r="AA47" s="198">
        <f t="shared" si="9"/>
        <v>45606</v>
      </c>
      <c r="AC47" s="197">
        <v>45</v>
      </c>
      <c r="AD47" s="198">
        <f t="shared" si="10"/>
        <v>45964</v>
      </c>
      <c r="AE47" s="198">
        <f t="shared" si="11"/>
        <v>45970</v>
      </c>
      <c r="AG47" s="197">
        <v>45</v>
      </c>
      <c r="AH47" s="198">
        <f t="shared" si="12"/>
        <v>46328</v>
      </c>
      <c r="AI47" s="198">
        <f t="shared" si="13"/>
        <v>46334</v>
      </c>
      <c r="AO47" s="29">
        <v>4</v>
      </c>
      <c r="AP47" s="29" t="s">
        <v>122</v>
      </c>
      <c r="AQ47" s="30">
        <v>45748</v>
      </c>
      <c r="AR47" s="30">
        <v>45777</v>
      </c>
    </row>
    <row r="48" spans="1:44" x14ac:dyDescent="0.2">
      <c r="A48" s="31">
        <v>46</v>
      </c>
      <c r="B48" s="30">
        <v>43416</v>
      </c>
      <c r="C48" s="30">
        <v>43422</v>
      </c>
      <c r="D48" s="28"/>
      <c r="E48" s="31">
        <v>46</v>
      </c>
      <c r="F48" s="30">
        <v>43780</v>
      </c>
      <c r="G48" s="30">
        <v>43786</v>
      </c>
      <c r="H48" s="108"/>
      <c r="I48" s="31">
        <v>46</v>
      </c>
      <c r="J48" s="30">
        <f t="shared" si="0"/>
        <v>44144</v>
      </c>
      <c r="K48" s="30">
        <f t="shared" si="1"/>
        <v>44150</v>
      </c>
      <c r="M48" s="31">
        <v>46</v>
      </c>
      <c r="N48" s="30">
        <f t="shared" si="2"/>
        <v>44508</v>
      </c>
      <c r="O48" s="30">
        <f t="shared" si="3"/>
        <v>44514</v>
      </c>
      <c r="Q48" s="31">
        <v>46</v>
      </c>
      <c r="R48" s="30">
        <f t="shared" si="4"/>
        <v>44879</v>
      </c>
      <c r="S48" s="30">
        <f t="shared" si="5"/>
        <v>44885</v>
      </c>
      <c r="U48" s="31">
        <v>46</v>
      </c>
      <c r="V48" s="30">
        <f t="shared" si="6"/>
        <v>45243</v>
      </c>
      <c r="W48" s="30">
        <f t="shared" si="7"/>
        <v>45249</v>
      </c>
      <c r="Y48" s="197">
        <v>46</v>
      </c>
      <c r="Z48" s="198">
        <f t="shared" si="8"/>
        <v>45607</v>
      </c>
      <c r="AA48" s="198">
        <f t="shared" si="9"/>
        <v>45613</v>
      </c>
      <c r="AC48" s="197">
        <v>46</v>
      </c>
      <c r="AD48" s="198">
        <f t="shared" si="10"/>
        <v>45971</v>
      </c>
      <c r="AE48" s="198">
        <f t="shared" si="11"/>
        <v>45977</v>
      </c>
      <c r="AG48" s="197">
        <v>46</v>
      </c>
      <c r="AH48" s="198">
        <f t="shared" si="12"/>
        <v>46335</v>
      </c>
      <c r="AI48" s="198">
        <f t="shared" si="13"/>
        <v>46341</v>
      </c>
      <c r="AO48" s="29">
        <v>5</v>
      </c>
      <c r="AP48" s="29" t="s">
        <v>123</v>
      </c>
      <c r="AQ48" s="30">
        <v>45778</v>
      </c>
      <c r="AR48" s="30">
        <v>45808</v>
      </c>
    </row>
    <row r="49" spans="1:44" x14ac:dyDescent="0.2">
      <c r="A49" s="31">
        <v>47</v>
      </c>
      <c r="B49" s="30">
        <v>43423</v>
      </c>
      <c r="C49" s="30">
        <v>43429</v>
      </c>
      <c r="D49" s="28"/>
      <c r="E49" s="31">
        <v>47</v>
      </c>
      <c r="F49" s="30">
        <v>43787</v>
      </c>
      <c r="G49" s="30">
        <v>43793</v>
      </c>
      <c r="H49" s="108"/>
      <c r="I49" s="31">
        <v>47</v>
      </c>
      <c r="J49" s="30">
        <f t="shared" si="0"/>
        <v>44151</v>
      </c>
      <c r="K49" s="30">
        <f t="shared" si="1"/>
        <v>44157</v>
      </c>
      <c r="M49" s="31">
        <v>47</v>
      </c>
      <c r="N49" s="30">
        <f t="shared" si="2"/>
        <v>44515</v>
      </c>
      <c r="O49" s="30">
        <f t="shared" si="3"/>
        <v>44521</v>
      </c>
      <c r="Q49" s="31">
        <v>47</v>
      </c>
      <c r="R49" s="30">
        <f t="shared" si="4"/>
        <v>44886</v>
      </c>
      <c r="S49" s="30">
        <f t="shared" si="5"/>
        <v>44892</v>
      </c>
      <c r="U49" s="31">
        <v>47</v>
      </c>
      <c r="V49" s="30">
        <f t="shared" si="6"/>
        <v>45250</v>
      </c>
      <c r="W49" s="30">
        <f t="shared" si="7"/>
        <v>45256</v>
      </c>
      <c r="Y49" s="197">
        <v>47</v>
      </c>
      <c r="Z49" s="198">
        <f t="shared" si="8"/>
        <v>45614</v>
      </c>
      <c r="AA49" s="198">
        <f t="shared" si="9"/>
        <v>45620</v>
      </c>
      <c r="AC49" s="197">
        <v>47</v>
      </c>
      <c r="AD49" s="198">
        <f t="shared" si="10"/>
        <v>45978</v>
      </c>
      <c r="AE49" s="198">
        <f t="shared" si="11"/>
        <v>45984</v>
      </c>
      <c r="AG49" s="197">
        <v>47</v>
      </c>
      <c r="AH49" s="198">
        <f t="shared" si="12"/>
        <v>46342</v>
      </c>
      <c r="AI49" s="198">
        <f t="shared" si="13"/>
        <v>46348</v>
      </c>
      <c r="AO49" s="29">
        <v>6</v>
      </c>
      <c r="AP49" s="29" t="s">
        <v>124</v>
      </c>
      <c r="AQ49" s="30">
        <v>45809</v>
      </c>
      <c r="AR49" s="30">
        <v>45838</v>
      </c>
    </row>
    <row r="50" spans="1:44" x14ac:dyDescent="0.2">
      <c r="A50" s="31">
        <v>48</v>
      </c>
      <c r="B50" s="30">
        <v>43430</v>
      </c>
      <c r="C50" s="30">
        <v>43436</v>
      </c>
      <c r="D50" s="28"/>
      <c r="E50" s="31">
        <v>48</v>
      </c>
      <c r="F50" s="30">
        <v>43794</v>
      </c>
      <c r="G50" s="30">
        <v>43800</v>
      </c>
      <c r="H50" s="108"/>
      <c r="I50" s="31">
        <v>48</v>
      </c>
      <c r="J50" s="30">
        <f t="shared" si="0"/>
        <v>44158</v>
      </c>
      <c r="K50" s="30">
        <f t="shared" si="1"/>
        <v>44164</v>
      </c>
      <c r="M50" s="31">
        <v>48</v>
      </c>
      <c r="N50" s="30">
        <f t="shared" si="2"/>
        <v>44522</v>
      </c>
      <c r="O50" s="30">
        <f t="shared" si="3"/>
        <v>44528</v>
      </c>
      <c r="Q50" s="31">
        <v>48</v>
      </c>
      <c r="R50" s="30">
        <f t="shared" si="4"/>
        <v>44893</v>
      </c>
      <c r="S50" s="30">
        <f t="shared" si="5"/>
        <v>44899</v>
      </c>
      <c r="U50" s="31">
        <v>48</v>
      </c>
      <c r="V50" s="30">
        <f t="shared" si="6"/>
        <v>45257</v>
      </c>
      <c r="W50" s="30">
        <f t="shared" si="7"/>
        <v>45263</v>
      </c>
      <c r="Y50" s="197">
        <v>48</v>
      </c>
      <c r="Z50" s="198">
        <f t="shared" si="8"/>
        <v>45621</v>
      </c>
      <c r="AA50" s="198">
        <f t="shared" si="9"/>
        <v>45627</v>
      </c>
      <c r="AC50" s="197">
        <v>48</v>
      </c>
      <c r="AD50" s="198">
        <f t="shared" si="10"/>
        <v>45985</v>
      </c>
      <c r="AE50" s="198">
        <f t="shared" si="11"/>
        <v>45991</v>
      </c>
      <c r="AG50" s="197">
        <v>48</v>
      </c>
      <c r="AH50" s="198">
        <f t="shared" si="12"/>
        <v>46349</v>
      </c>
      <c r="AI50" s="198">
        <f t="shared" si="13"/>
        <v>46355</v>
      </c>
      <c r="AO50" s="29">
        <v>7</v>
      </c>
      <c r="AP50" s="29" t="s">
        <v>125</v>
      </c>
      <c r="AQ50" s="30">
        <v>45839</v>
      </c>
      <c r="AR50" s="30">
        <v>45869</v>
      </c>
    </row>
    <row r="51" spans="1:44" x14ac:dyDescent="0.2">
      <c r="A51" s="31">
        <v>49</v>
      </c>
      <c r="B51" s="30">
        <v>43437</v>
      </c>
      <c r="C51" s="30">
        <v>43443</v>
      </c>
      <c r="D51" s="28"/>
      <c r="E51" s="31">
        <v>49</v>
      </c>
      <c r="F51" s="30">
        <v>43801</v>
      </c>
      <c r="G51" s="30">
        <v>43807</v>
      </c>
      <c r="H51" s="108"/>
      <c r="I51" s="31">
        <v>49</v>
      </c>
      <c r="J51" s="30">
        <f t="shared" si="0"/>
        <v>44165</v>
      </c>
      <c r="K51" s="30">
        <f t="shared" si="1"/>
        <v>44171</v>
      </c>
      <c r="M51" s="31">
        <v>49</v>
      </c>
      <c r="N51" s="30">
        <f t="shared" si="2"/>
        <v>44529</v>
      </c>
      <c r="O51" s="30">
        <f t="shared" si="3"/>
        <v>44535</v>
      </c>
      <c r="Q51" s="31">
        <v>49</v>
      </c>
      <c r="R51" s="30">
        <f t="shared" si="4"/>
        <v>44900</v>
      </c>
      <c r="S51" s="30">
        <f t="shared" si="5"/>
        <v>44906</v>
      </c>
      <c r="U51" s="31">
        <v>49</v>
      </c>
      <c r="V51" s="30">
        <f t="shared" si="6"/>
        <v>45264</v>
      </c>
      <c r="W51" s="30">
        <f t="shared" si="7"/>
        <v>45270</v>
      </c>
      <c r="Y51" s="197">
        <v>49</v>
      </c>
      <c r="Z51" s="198">
        <f t="shared" si="8"/>
        <v>45628</v>
      </c>
      <c r="AA51" s="198">
        <f t="shared" si="9"/>
        <v>45634</v>
      </c>
      <c r="AC51" s="197">
        <v>49</v>
      </c>
      <c r="AD51" s="198">
        <f t="shared" si="10"/>
        <v>45992</v>
      </c>
      <c r="AE51" s="198">
        <f t="shared" si="11"/>
        <v>45998</v>
      </c>
      <c r="AG51" s="197">
        <v>49</v>
      </c>
      <c r="AH51" s="198">
        <f t="shared" si="12"/>
        <v>46356</v>
      </c>
      <c r="AI51" s="198">
        <f t="shared" si="13"/>
        <v>46362</v>
      </c>
      <c r="AO51" s="29">
        <v>8</v>
      </c>
      <c r="AP51" s="29" t="s">
        <v>126</v>
      </c>
      <c r="AQ51" s="30">
        <v>45870</v>
      </c>
      <c r="AR51" s="30">
        <v>45900</v>
      </c>
    </row>
    <row r="52" spans="1:44" x14ac:dyDescent="0.2">
      <c r="A52" s="31">
        <v>50</v>
      </c>
      <c r="B52" s="30">
        <v>43444</v>
      </c>
      <c r="C52" s="30">
        <v>43450</v>
      </c>
      <c r="D52" s="28"/>
      <c r="E52" s="31">
        <v>50</v>
      </c>
      <c r="F52" s="30">
        <v>43808</v>
      </c>
      <c r="G52" s="30">
        <v>43814</v>
      </c>
      <c r="H52" s="108"/>
      <c r="I52" s="31">
        <v>50</v>
      </c>
      <c r="J52" s="30">
        <f t="shared" si="0"/>
        <v>44172</v>
      </c>
      <c r="K52" s="30">
        <f t="shared" si="1"/>
        <v>44178</v>
      </c>
      <c r="M52" s="31">
        <v>50</v>
      </c>
      <c r="N52" s="30">
        <f t="shared" si="2"/>
        <v>44536</v>
      </c>
      <c r="O52" s="30">
        <f t="shared" si="3"/>
        <v>44542</v>
      </c>
      <c r="Q52" s="31">
        <v>50</v>
      </c>
      <c r="R52" s="30">
        <f t="shared" si="4"/>
        <v>44907</v>
      </c>
      <c r="S52" s="30">
        <f t="shared" si="5"/>
        <v>44913</v>
      </c>
      <c r="U52" s="31">
        <v>50</v>
      </c>
      <c r="V52" s="30">
        <f t="shared" si="6"/>
        <v>45271</v>
      </c>
      <c r="W52" s="30">
        <f t="shared" si="7"/>
        <v>45277</v>
      </c>
      <c r="Y52" s="197">
        <v>50</v>
      </c>
      <c r="Z52" s="198">
        <f t="shared" si="8"/>
        <v>45635</v>
      </c>
      <c r="AA52" s="198">
        <f t="shared" si="9"/>
        <v>45641</v>
      </c>
      <c r="AC52" s="197">
        <v>50</v>
      </c>
      <c r="AD52" s="198">
        <f t="shared" si="10"/>
        <v>45999</v>
      </c>
      <c r="AE52" s="198">
        <f t="shared" si="11"/>
        <v>46005</v>
      </c>
      <c r="AG52" s="197">
        <v>50</v>
      </c>
      <c r="AH52" s="198">
        <f t="shared" si="12"/>
        <v>46363</v>
      </c>
      <c r="AI52" s="198">
        <f t="shared" si="13"/>
        <v>46369</v>
      </c>
      <c r="AO52" s="29">
        <v>9</v>
      </c>
      <c r="AP52" s="29" t="s">
        <v>127</v>
      </c>
      <c r="AQ52" s="30">
        <v>45901</v>
      </c>
      <c r="AR52" s="30">
        <v>45930</v>
      </c>
    </row>
    <row r="53" spans="1:44" x14ac:dyDescent="0.2">
      <c r="A53" s="31">
        <v>51</v>
      </c>
      <c r="B53" s="30">
        <v>43451</v>
      </c>
      <c r="C53" s="30">
        <v>43457</v>
      </c>
      <c r="D53" s="28"/>
      <c r="E53" s="31">
        <v>51</v>
      </c>
      <c r="F53" s="30">
        <v>43815</v>
      </c>
      <c r="G53" s="30">
        <v>43821</v>
      </c>
      <c r="H53" s="108"/>
      <c r="I53" s="31">
        <v>51</v>
      </c>
      <c r="J53" s="30">
        <f t="shared" si="0"/>
        <v>44179</v>
      </c>
      <c r="K53" s="30">
        <f t="shared" si="1"/>
        <v>44185</v>
      </c>
      <c r="M53" s="31">
        <v>51</v>
      </c>
      <c r="N53" s="30">
        <f t="shared" si="2"/>
        <v>44543</v>
      </c>
      <c r="O53" s="30">
        <f t="shared" si="3"/>
        <v>44549</v>
      </c>
      <c r="Q53" s="31">
        <v>51</v>
      </c>
      <c r="R53" s="30">
        <f t="shared" si="4"/>
        <v>44914</v>
      </c>
      <c r="S53" s="30">
        <f t="shared" si="5"/>
        <v>44920</v>
      </c>
      <c r="U53" s="31">
        <v>51</v>
      </c>
      <c r="V53" s="30">
        <f t="shared" si="6"/>
        <v>45278</v>
      </c>
      <c r="W53" s="30">
        <f t="shared" si="7"/>
        <v>45284</v>
      </c>
      <c r="Y53" s="197">
        <v>51</v>
      </c>
      <c r="Z53" s="198">
        <f t="shared" si="8"/>
        <v>45642</v>
      </c>
      <c r="AA53" s="198">
        <f t="shared" si="9"/>
        <v>45648</v>
      </c>
      <c r="AC53" s="197">
        <v>51</v>
      </c>
      <c r="AD53" s="198">
        <f t="shared" si="10"/>
        <v>46006</v>
      </c>
      <c r="AE53" s="198">
        <f t="shared" si="11"/>
        <v>46012</v>
      </c>
      <c r="AG53" s="197">
        <v>51</v>
      </c>
      <c r="AH53" s="198">
        <f t="shared" si="12"/>
        <v>46370</v>
      </c>
      <c r="AI53" s="198">
        <f t="shared" si="13"/>
        <v>46376</v>
      </c>
      <c r="AO53" s="29">
        <v>10</v>
      </c>
      <c r="AP53" s="29" t="s">
        <v>128</v>
      </c>
      <c r="AQ53" s="30">
        <v>45931</v>
      </c>
      <c r="AR53" s="30">
        <v>45961</v>
      </c>
    </row>
    <row r="54" spans="1:44" x14ac:dyDescent="0.2">
      <c r="A54" s="31">
        <v>52</v>
      </c>
      <c r="B54" s="30">
        <v>43458</v>
      </c>
      <c r="C54" s="30">
        <v>43464</v>
      </c>
      <c r="D54" s="28"/>
      <c r="E54" s="31">
        <v>52</v>
      </c>
      <c r="F54" s="30">
        <v>43822</v>
      </c>
      <c r="G54" s="30">
        <v>43828</v>
      </c>
      <c r="H54" s="108"/>
      <c r="I54" s="31">
        <v>52</v>
      </c>
      <c r="J54" s="30">
        <f t="shared" si="0"/>
        <v>44186</v>
      </c>
      <c r="K54" s="30">
        <f t="shared" si="1"/>
        <v>44192</v>
      </c>
      <c r="M54" s="31">
        <v>52</v>
      </c>
      <c r="N54" s="30">
        <f t="shared" si="2"/>
        <v>44550</v>
      </c>
      <c r="O54" s="30">
        <f t="shared" si="3"/>
        <v>44556</v>
      </c>
      <c r="Q54" s="31">
        <v>52</v>
      </c>
      <c r="R54" s="30">
        <f t="shared" si="4"/>
        <v>44921</v>
      </c>
      <c r="S54" s="30">
        <f t="shared" si="5"/>
        <v>44927</v>
      </c>
      <c r="U54" s="31">
        <v>52</v>
      </c>
      <c r="V54" s="30">
        <f t="shared" si="6"/>
        <v>45285</v>
      </c>
      <c r="W54" s="30">
        <f t="shared" si="7"/>
        <v>45291</v>
      </c>
      <c r="Y54" s="197">
        <v>52</v>
      </c>
      <c r="Z54" s="198">
        <f t="shared" si="8"/>
        <v>45649</v>
      </c>
      <c r="AA54" s="198">
        <f t="shared" si="9"/>
        <v>45655</v>
      </c>
      <c r="AC54" s="197">
        <v>52</v>
      </c>
      <c r="AD54" s="198">
        <f t="shared" si="10"/>
        <v>46013</v>
      </c>
      <c r="AE54" s="198">
        <f t="shared" si="11"/>
        <v>46019</v>
      </c>
      <c r="AG54" s="197">
        <v>52</v>
      </c>
      <c r="AH54" s="198">
        <f t="shared" si="12"/>
        <v>46377</v>
      </c>
      <c r="AI54" s="198">
        <f t="shared" si="13"/>
        <v>46383</v>
      </c>
      <c r="AO54" s="29">
        <v>11</v>
      </c>
      <c r="AP54" s="29" t="s">
        <v>129</v>
      </c>
      <c r="AQ54" s="30">
        <v>45962</v>
      </c>
      <c r="AR54" s="30">
        <v>45991</v>
      </c>
    </row>
    <row r="55" spans="1:44" x14ac:dyDescent="0.2">
      <c r="A55" s="32"/>
      <c r="B55" s="28"/>
      <c r="C55" s="28"/>
      <c r="D55" s="28"/>
      <c r="E55" s="32"/>
      <c r="F55" s="28"/>
      <c r="G55" s="28"/>
      <c r="H55" s="28"/>
      <c r="I55" s="28"/>
      <c r="J55" s="28"/>
      <c r="K55" s="28"/>
      <c r="M55" s="31">
        <v>53</v>
      </c>
      <c r="N55" s="30">
        <f t="shared" ref="N55" si="14">O54+1</f>
        <v>44557</v>
      </c>
      <c r="O55" s="30">
        <f t="shared" ref="O55" si="15">N55+6</f>
        <v>44563</v>
      </c>
      <c r="Q55" s="28"/>
      <c r="R55" s="28"/>
      <c r="S55" s="28"/>
      <c r="Y55" s="108"/>
      <c r="Z55" s="108"/>
      <c r="AA55" s="108"/>
      <c r="AO55" s="29">
        <v>12</v>
      </c>
      <c r="AP55" s="29" t="s">
        <v>130</v>
      </c>
      <c r="AQ55" s="30">
        <v>45992</v>
      </c>
      <c r="AR55" s="30">
        <v>46022</v>
      </c>
    </row>
    <row r="56" spans="1:44" x14ac:dyDescent="0.2">
      <c r="A56" s="32"/>
      <c r="B56" s="28"/>
      <c r="C56" s="28"/>
      <c r="D56" s="28"/>
      <c r="E56" s="32"/>
      <c r="F56" s="28"/>
      <c r="G56" s="28"/>
      <c r="H56" s="28"/>
      <c r="I56" s="28"/>
      <c r="J56" s="28"/>
      <c r="K56" s="28"/>
      <c r="M56" s="28"/>
      <c r="N56" s="28"/>
      <c r="O56" s="28"/>
      <c r="Q56" s="28"/>
      <c r="R56" s="28"/>
      <c r="S56" s="28"/>
      <c r="Y56" s="28"/>
      <c r="Z56" s="28"/>
      <c r="AA56" s="28"/>
    </row>
    <row r="57" spans="1:44" x14ac:dyDescent="0.2">
      <c r="A57" s="32"/>
      <c r="B57" s="28"/>
      <c r="C57" s="28"/>
      <c r="D57" s="28"/>
      <c r="E57" s="32"/>
      <c r="F57" s="28"/>
      <c r="G57" s="28"/>
      <c r="H57" s="28"/>
      <c r="I57" s="28"/>
      <c r="J57" s="28"/>
      <c r="K57" s="28"/>
      <c r="M57" s="28"/>
      <c r="N57" s="28"/>
      <c r="O57" s="28"/>
      <c r="Q57" s="28"/>
      <c r="R57" s="28"/>
      <c r="S57" s="28"/>
      <c r="Y57" s="28"/>
      <c r="Z57" s="28"/>
      <c r="AA57" s="28"/>
      <c r="AO57" s="262" t="s">
        <v>131</v>
      </c>
      <c r="AP57" s="262"/>
      <c r="AQ57" s="29" t="s">
        <v>84</v>
      </c>
      <c r="AR57" s="29" t="s">
        <v>85</v>
      </c>
    </row>
    <row r="58" spans="1:44" x14ac:dyDescent="0.2">
      <c r="A58" s="32"/>
      <c r="B58" s="28"/>
      <c r="C58" s="28"/>
      <c r="D58" s="28"/>
      <c r="E58" s="32"/>
      <c r="F58" s="28"/>
      <c r="G58" s="28"/>
      <c r="H58" s="28"/>
      <c r="I58" s="28"/>
      <c r="J58" s="28"/>
      <c r="K58" s="28"/>
      <c r="M58" s="28"/>
      <c r="N58" s="28"/>
      <c r="O58" s="28"/>
      <c r="Q58" s="28"/>
      <c r="R58" s="28"/>
      <c r="S58" s="28"/>
      <c r="Y58" s="28"/>
      <c r="Z58" s="28"/>
      <c r="AA58" s="28"/>
      <c r="AO58" s="29">
        <v>1</v>
      </c>
      <c r="AP58" s="29" t="s">
        <v>119</v>
      </c>
      <c r="AQ58" s="30">
        <v>46023</v>
      </c>
      <c r="AR58" s="30">
        <v>46053</v>
      </c>
    </row>
    <row r="59" spans="1:44" x14ac:dyDescent="0.2">
      <c r="A59" s="32"/>
      <c r="B59" s="28"/>
      <c r="C59" s="28"/>
      <c r="D59" s="28"/>
      <c r="E59" s="32"/>
      <c r="F59" s="28"/>
      <c r="G59" s="28"/>
      <c r="H59" s="28"/>
      <c r="I59" s="28"/>
      <c r="J59" s="28"/>
      <c r="K59" s="28"/>
      <c r="M59" s="28"/>
      <c r="N59" s="28"/>
      <c r="O59" s="28"/>
      <c r="Q59" s="28"/>
      <c r="R59" s="28"/>
      <c r="S59" s="28"/>
      <c r="Y59" s="28"/>
      <c r="Z59" s="28"/>
      <c r="AA59" s="28"/>
      <c r="AO59" s="29">
        <v>2</v>
      </c>
      <c r="AP59" s="29" t="s">
        <v>120</v>
      </c>
      <c r="AQ59" s="30">
        <v>46054</v>
      </c>
      <c r="AR59" s="202">
        <v>46081</v>
      </c>
    </row>
    <row r="60" spans="1:44" x14ac:dyDescent="0.2">
      <c r="A60" s="32"/>
      <c r="B60" s="28"/>
      <c r="C60" s="28"/>
      <c r="D60" s="28"/>
      <c r="E60" s="32"/>
      <c r="F60" s="28"/>
      <c r="G60" s="28"/>
      <c r="H60" s="28"/>
      <c r="I60" s="28"/>
      <c r="J60" s="28"/>
      <c r="K60" s="28"/>
      <c r="M60" s="28"/>
      <c r="N60" s="28"/>
      <c r="O60" s="28"/>
      <c r="Q60" s="28"/>
      <c r="R60" s="28"/>
      <c r="S60" s="28"/>
      <c r="Y60" s="28"/>
      <c r="Z60" s="28"/>
      <c r="AA60" s="28"/>
      <c r="AO60" s="29">
        <v>3</v>
      </c>
      <c r="AP60" s="29" t="s">
        <v>121</v>
      </c>
      <c r="AQ60" s="30">
        <v>46082</v>
      </c>
      <c r="AR60" s="30">
        <v>46112</v>
      </c>
    </row>
    <row r="61" spans="1:44" x14ac:dyDescent="0.2">
      <c r="A61" s="32"/>
      <c r="B61" s="28"/>
      <c r="C61" s="28"/>
      <c r="D61" s="28"/>
      <c r="E61" s="32"/>
      <c r="F61" s="28"/>
      <c r="G61" s="28"/>
      <c r="H61" s="28"/>
      <c r="I61" s="28"/>
      <c r="J61" s="28"/>
      <c r="K61" s="28"/>
      <c r="M61" s="28"/>
      <c r="N61" s="28"/>
      <c r="O61" s="28"/>
      <c r="Q61" s="28"/>
      <c r="R61" s="28"/>
      <c r="S61" s="28"/>
      <c r="Y61" s="28"/>
      <c r="Z61" s="28"/>
      <c r="AA61" s="28"/>
      <c r="AO61" s="29">
        <v>4</v>
      </c>
      <c r="AP61" s="29" t="s">
        <v>122</v>
      </c>
      <c r="AQ61" s="30">
        <v>46113</v>
      </c>
      <c r="AR61" s="202">
        <v>46142</v>
      </c>
    </row>
    <row r="62" spans="1:44" x14ac:dyDescent="0.2">
      <c r="A62" s="32"/>
      <c r="B62" s="28"/>
      <c r="C62" s="28"/>
      <c r="D62" s="28"/>
      <c r="E62" s="32"/>
      <c r="F62" s="28"/>
      <c r="G62" s="28"/>
      <c r="H62" s="28"/>
      <c r="I62" s="28"/>
      <c r="J62" s="28"/>
      <c r="K62" s="28"/>
      <c r="M62" s="28"/>
      <c r="N62" s="28"/>
      <c r="O62" s="28"/>
      <c r="Q62" s="28"/>
      <c r="R62" s="28"/>
      <c r="S62" s="28"/>
      <c r="Y62" s="28"/>
      <c r="Z62" s="28"/>
      <c r="AA62" s="28"/>
      <c r="AO62" s="29">
        <v>5</v>
      </c>
      <c r="AP62" s="29" t="s">
        <v>123</v>
      </c>
      <c r="AQ62" s="30">
        <v>46143</v>
      </c>
      <c r="AR62" s="30">
        <v>46173</v>
      </c>
    </row>
    <row r="63" spans="1:44" x14ac:dyDescent="0.2">
      <c r="A63" s="32"/>
      <c r="B63" s="28"/>
      <c r="C63" s="28"/>
      <c r="D63" s="28"/>
      <c r="E63" s="32"/>
      <c r="F63" s="28"/>
      <c r="G63" s="28"/>
      <c r="H63" s="28"/>
      <c r="I63" s="28"/>
      <c r="J63" s="28"/>
      <c r="K63" s="28"/>
      <c r="M63" s="28"/>
      <c r="N63" s="28"/>
      <c r="O63" s="28"/>
      <c r="Q63" s="28"/>
      <c r="R63" s="28"/>
      <c r="S63" s="28"/>
      <c r="Y63" s="28"/>
      <c r="Z63" s="28"/>
      <c r="AA63" s="28"/>
      <c r="AO63" s="29">
        <v>6</v>
      </c>
      <c r="AP63" s="29" t="s">
        <v>124</v>
      </c>
      <c r="AQ63" s="30">
        <v>46174</v>
      </c>
      <c r="AR63" s="202">
        <v>46203</v>
      </c>
    </row>
    <row r="64" spans="1:44" x14ac:dyDescent="0.2">
      <c r="A64" s="32"/>
      <c r="B64" s="28"/>
      <c r="C64" s="28"/>
      <c r="D64" s="28"/>
      <c r="E64" s="32"/>
      <c r="F64" s="28"/>
      <c r="G64" s="28"/>
      <c r="H64" s="28"/>
      <c r="I64" s="28"/>
      <c r="J64" s="28"/>
      <c r="K64" s="28"/>
      <c r="M64" s="28"/>
      <c r="N64" s="28"/>
      <c r="O64" s="28"/>
      <c r="Y64" s="28"/>
      <c r="Z64" s="28"/>
      <c r="AA64" s="28"/>
      <c r="AO64" s="29">
        <v>7</v>
      </c>
      <c r="AP64" s="29" t="s">
        <v>125</v>
      </c>
      <c r="AQ64" s="30">
        <v>46204</v>
      </c>
      <c r="AR64" s="30">
        <v>46234</v>
      </c>
    </row>
    <row r="65" spans="1:44" x14ac:dyDescent="0.2">
      <c r="A65" s="32"/>
      <c r="B65" s="28"/>
      <c r="C65" s="28"/>
      <c r="D65" s="28"/>
      <c r="E65" s="32"/>
      <c r="AO65" s="29">
        <v>8</v>
      </c>
      <c r="AP65" s="29" t="s">
        <v>126</v>
      </c>
      <c r="AQ65" s="30">
        <v>46235</v>
      </c>
      <c r="AR65" s="202">
        <v>46265</v>
      </c>
    </row>
    <row r="66" spans="1:44" x14ac:dyDescent="0.2">
      <c r="A66" s="32"/>
      <c r="B66" s="28"/>
      <c r="C66" s="28"/>
      <c r="D66" s="28"/>
      <c r="E66" s="32"/>
      <c r="AO66" s="29">
        <v>9</v>
      </c>
      <c r="AP66" s="29" t="s">
        <v>127</v>
      </c>
      <c r="AQ66" s="30">
        <v>46266</v>
      </c>
      <c r="AR66" s="30">
        <v>46295</v>
      </c>
    </row>
    <row r="67" spans="1:44" x14ac:dyDescent="0.2">
      <c r="A67" s="32"/>
      <c r="B67" s="28"/>
      <c r="C67" s="28"/>
      <c r="D67" s="28"/>
      <c r="E67" s="32"/>
      <c r="AO67" s="29">
        <v>10</v>
      </c>
      <c r="AP67" s="29" t="s">
        <v>128</v>
      </c>
      <c r="AQ67" s="30">
        <v>46296</v>
      </c>
      <c r="AR67" s="202">
        <v>46326</v>
      </c>
    </row>
    <row r="68" spans="1:44" x14ac:dyDescent="0.2">
      <c r="A68" s="32"/>
      <c r="B68" s="28"/>
      <c r="C68" s="28"/>
      <c r="D68" s="28"/>
      <c r="E68" s="32"/>
      <c r="AO68" s="29">
        <v>11</v>
      </c>
      <c r="AP68" s="29" t="s">
        <v>129</v>
      </c>
      <c r="AQ68" s="30">
        <v>46327</v>
      </c>
      <c r="AR68" s="30">
        <v>46356</v>
      </c>
    </row>
    <row r="69" spans="1:44" x14ac:dyDescent="0.2">
      <c r="A69" s="32"/>
      <c r="B69" s="28"/>
      <c r="C69" s="28"/>
      <c r="D69" s="28"/>
      <c r="E69" s="32"/>
      <c r="AO69" s="29">
        <v>12</v>
      </c>
      <c r="AP69" s="29" t="s">
        <v>130</v>
      </c>
      <c r="AQ69" s="30">
        <v>46357</v>
      </c>
      <c r="AR69" s="202">
        <v>46387</v>
      </c>
    </row>
  </sheetData>
  <sheetProtection algorithmName="SHA-512" hashValue="lQhsciYMvDTLrAS/fSLbCMgxuRdI2sCfID+Dp9I2YbD3jTy8w+p5256e0xggXKyMlOoVcSCWvPZ+CJx512681g==" saltValue="gOxq48LV6zsg6ck4h/wNIg==" spinCount="100000" sheet="1" objects="1" scenarios="1"/>
  <mergeCells count="14">
    <mergeCell ref="A1:C1"/>
    <mergeCell ref="E1:G1"/>
    <mergeCell ref="AO1:AP1"/>
    <mergeCell ref="I1:K1"/>
    <mergeCell ref="M1:O1"/>
    <mergeCell ref="Q1:S1"/>
    <mergeCell ref="Y1:AA1"/>
    <mergeCell ref="AC1:AE1"/>
    <mergeCell ref="AG1:AI1"/>
    <mergeCell ref="AO57:AP57"/>
    <mergeCell ref="AO43:AP43"/>
    <mergeCell ref="AO29:AP29"/>
    <mergeCell ref="U1:W1"/>
    <mergeCell ref="AO15:AP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23</vt:i4>
      </vt:variant>
    </vt:vector>
  </HeadingPairs>
  <TitlesOfParts>
    <vt:vector size="33" baseType="lpstr">
      <vt:lpstr>Produccion</vt:lpstr>
      <vt:lpstr>Ventas_Des</vt:lpstr>
      <vt:lpstr>Stock_Real</vt:lpstr>
      <vt:lpstr>Produccion_2026</vt:lpstr>
      <vt:lpstr>Ventas_Des2</vt:lpstr>
      <vt:lpstr>Stock_Real2</vt:lpstr>
      <vt:lpstr>Semanal2</vt:lpstr>
      <vt:lpstr>Semanal</vt:lpstr>
      <vt:lpstr>Hoja2</vt:lpstr>
      <vt:lpstr>Semanas 2018-2019</vt:lpstr>
      <vt:lpstr>Produccion_2026!Base</vt:lpstr>
      <vt:lpstr>Base</vt:lpstr>
      <vt:lpstr>Datos</vt:lpstr>
      <vt:lpstr>Datos2</vt:lpstr>
      <vt:lpstr>Datos3Compras</vt:lpstr>
      <vt:lpstr>DatosVentas</vt:lpstr>
      <vt:lpstr>Fechas</vt:lpstr>
      <vt:lpstr>Fechas2</vt:lpstr>
      <vt:lpstr>Meses</vt:lpstr>
      <vt:lpstr>Meses2</vt:lpstr>
      <vt:lpstr>Meses3</vt:lpstr>
      <vt:lpstr>Meses4</vt:lpstr>
      <vt:lpstr>Meses5</vt:lpstr>
      <vt:lpstr>Producto</vt:lpstr>
      <vt:lpstr>Semana21</vt:lpstr>
      <vt:lpstr>Semana22</vt:lpstr>
      <vt:lpstr>Semana23</vt:lpstr>
      <vt:lpstr>Semana24</vt:lpstr>
      <vt:lpstr>Semana25</vt:lpstr>
      <vt:lpstr>Semana26</vt:lpstr>
      <vt:lpstr>Semanas19</vt:lpstr>
      <vt:lpstr>SemanasVentas</vt:lpstr>
      <vt:lpstr>SemanasVentas2</vt:lpstr>
    </vt:vector>
  </TitlesOfParts>
  <Company>GP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Carvajal</dc:creator>
  <cp:lastModifiedBy>Carlos Carvajal</cp:lastModifiedBy>
  <dcterms:created xsi:type="dcterms:W3CDTF">2019-08-22T14:03:58Z</dcterms:created>
  <dcterms:modified xsi:type="dcterms:W3CDTF">2026-06-22T16:53:09Z</dcterms:modified>
</cp:coreProperties>
</file>